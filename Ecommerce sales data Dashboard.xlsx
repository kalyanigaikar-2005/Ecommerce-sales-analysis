
<file path=[Content_Types].xml><?xml version="1.0" encoding="utf-8"?>
<Types xmlns="http://schemas.openxmlformats.org/package/2006/content-types">
  <Default Extension="emf" ContentType="image/x-emf"/>
  <Default Extension="jpe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ivotTables/pivotTable5.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Ex1.xml" ContentType="application/vnd.ms-office.chartex+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Ex2.xml" ContentType="application/vnd.ms-office.chartex+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Ex3.xml" ContentType="application/vnd.ms-office.chartex+xml"/>
  <Override PartName="/xl/charts/style16.xml" ContentType="application/vnd.ms-office.chartstyle+xml"/>
  <Override PartName="/xl/charts/colors16.xml" ContentType="application/vnd.ms-office.chartcolorstyle+xml"/>
  <Override PartName="/xl/charts/chart14.xml" ContentType="application/vnd.openxmlformats-officedocument.drawingml.chart+xml"/>
  <Override PartName="/xl/charts/style17.xml" ContentType="application/vnd.ms-office.chartstyle+xml"/>
  <Override PartName="/xl/charts/colors17.xml" ContentType="application/vnd.ms-office.chartcolorstyle+xml"/>
  <Override PartName="/xl/charts/chart15.xml" ContentType="application/vnd.openxmlformats-officedocument.drawingml.chart+xml"/>
  <Override PartName="/xl/charts/style18.xml" ContentType="application/vnd.ms-office.chartstyle+xml"/>
  <Override PartName="/xl/charts/colors18.xml" ContentType="application/vnd.ms-office.chartcolorstyle+xml"/>
  <Override PartName="/xl/charts/chart16.xml" ContentType="application/vnd.openxmlformats-officedocument.drawingml.chart+xml"/>
  <Override PartName="/xl/charts/style19.xml" ContentType="application/vnd.ms-office.chartstyle+xml"/>
  <Override PartName="/xl/charts/colors19.xml" ContentType="application/vnd.ms-office.chartcolorstyle+xml"/>
  <Override PartName="/xl/charts/chart17.xml" ContentType="application/vnd.openxmlformats-officedocument.drawingml.chart+xml"/>
  <Override PartName="/xl/charts/style20.xml" ContentType="application/vnd.ms-office.chartstyle+xml"/>
  <Override PartName="/xl/charts/colors20.xml" ContentType="application/vnd.ms-office.chartcolorstyle+xml"/>
  <Override PartName="/xl/charts/chartEx4.xml" ContentType="application/vnd.ms-office.chartex+xml"/>
  <Override PartName="/xl/charts/style21.xml" ContentType="application/vnd.ms-office.chartstyle+xml"/>
  <Override PartName="/xl/charts/colors21.xml" ContentType="application/vnd.ms-office.chartcolorstyle+xml"/>
  <Override PartName="/xl/pivotTables/pivotTable12.xml" ContentType="application/vnd.openxmlformats-officedocument.spreadsheetml.pivot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C:\Projects\"/>
    </mc:Choice>
  </mc:AlternateContent>
  <xr:revisionPtr revIDLastSave="0" documentId="13_ncr:1_{F2526DBB-D2C3-4DA7-83D4-047AFF70DFA4}" xr6:coauthVersionLast="47" xr6:coauthVersionMax="47" xr10:uidLastSave="{00000000-0000-0000-0000-000000000000}"/>
  <bookViews>
    <workbookView xWindow="-108" yWindow="-108" windowWidth="23256" windowHeight="12456" activeTab="5" xr2:uid="{287A8FE8-2B5D-484A-948C-85E53EDAA560}"/>
  </bookViews>
  <sheets>
    <sheet name="Sheet2" sheetId="3" r:id="rId1"/>
    <sheet name="Detail1" sheetId="5" r:id="rId2"/>
    <sheet name="KPI" sheetId="4" r:id="rId3"/>
    <sheet name="Dashboard" sheetId="6" r:id="rId4"/>
    <sheet name="Sheet1" sheetId="2" r:id="rId5"/>
    <sheet name="Ecommerce sales data" sheetId="1" r:id="rId6"/>
  </sheets>
  <definedNames>
    <definedName name="_xlchart.v1.10" hidden="1">Sheet1!$D$16</definedName>
    <definedName name="_xlchart.v1.11" hidden="1">Sheet1!$D$17:$D$20</definedName>
    <definedName name="_xlchart.v1.3" hidden="1">Sheet1!$A$17:$C$20</definedName>
    <definedName name="_xlchart.v1.4" hidden="1">Sheet1!$D$16</definedName>
    <definedName name="_xlchart.v1.5" hidden="1">Sheet1!$D$17:$D$20</definedName>
    <definedName name="_xlchart.v1.9" hidden="1">Sheet1!$A$17:$C$20</definedName>
    <definedName name="_xlchart.v2.0" hidden="1">Sheet1!$A$47:$C$51</definedName>
    <definedName name="_xlchart.v2.1" hidden="1">Sheet1!$D$46</definedName>
    <definedName name="_xlchart.v2.2" hidden="1">Sheet1!$D$47:$D$51</definedName>
    <definedName name="_xlchart.v2.6" hidden="1">Sheet1!$A$47:$C$51</definedName>
    <definedName name="_xlchart.v2.7" hidden="1">Sheet1!$D$46</definedName>
    <definedName name="_xlchart.v2.8" hidden="1">Sheet1!$D$47:$D$51</definedName>
    <definedName name="Slicer_Category">#N/A</definedName>
    <definedName name="Slicer_Region">#N/A</definedName>
    <definedName name="Slicer_Years__Order_Date">#N/A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6" i="1" l="1"/>
  <c r="O1" i="1"/>
  <c r="O3" i="1" l="1"/>
  <c r="C48" i="2"/>
  <c r="C49" i="2"/>
  <c r="C50" i="2"/>
  <c r="C51" i="2"/>
  <c r="C47" i="2"/>
  <c r="C18" i="2"/>
  <c r="C19" i="2"/>
  <c r="C20" i="2"/>
  <c r="C17" i="2"/>
  <c r="R17" i="6"/>
  <c r="O15" i="6"/>
  <c r="E8" i="4"/>
  <c r="B8" i="4"/>
  <c r="D8" i="4"/>
  <c r="C8" i="4"/>
  <c r="D20" i="2"/>
  <c r="H15" i="3"/>
  <c r="D17" i="2"/>
  <c r="K15" i="3"/>
  <c r="D18" i="2"/>
  <c r="D50" i="2"/>
  <c r="D49" i="2"/>
  <c r="D48" i="2"/>
  <c r="D51" i="2"/>
  <c r="D47" i="2"/>
  <c r="E15" i="3"/>
  <c r="B15" i="3"/>
  <c r="D19" i="2"/>
</calcChain>
</file>

<file path=xl/sharedStrings.xml><?xml version="1.0" encoding="utf-8"?>
<sst xmlns="http://schemas.openxmlformats.org/spreadsheetml/2006/main" count="748" uniqueCount="73">
  <si>
    <t>Order Date</t>
  </si>
  <si>
    <t>Product Name</t>
  </si>
  <si>
    <t>Category</t>
  </si>
  <si>
    <t>Region</t>
  </si>
  <si>
    <t>Quantity</t>
  </si>
  <si>
    <t>Sales</t>
  </si>
  <si>
    <t>Profit</t>
  </si>
  <si>
    <t>Product Brand</t>
  </si>
  <si>
    <t>Printer</t>
  </si>
  <si>
    <t>Office</t>
  </si>
  <si>
    <t>North</t>
  </si>
  <si>
    <t>Epson</t>
  </si>
  <si>
    <t>Mouse</t>
  </si>
  <si>
    <t>Accessories</t>
  </si>
  <si>
    <t>East</t>
  </si>
  <si>
    <t>Logitech</t>
  </si>
  <si>
    <t>Tablet</t>
  </si>
  <si>
    <t>Electronics</t>
  </si>
  <si>
    <t>South</t>
  </si>
  <si>
    <t>Apple</t>
  </si>
  <si>
    <t>Dell</t>
  </si>
  <si>
    <t>West</t>
  </si>
  <si>
    <t>Camera</t>
  </si>
  <si>
    <t>Sony</t>
  </si>
  <si>
    <t>Headphones</t>
  </si>
  <si>
    <t>JBL</t>
  </si>
  <si>
    <t>Smartwatch</t>
  </si>
  <si>
    <t>Monitor</t>
  </si>
  <si>
    <t>LG</t>
  </si>
  <si>
    <t>Lenovo</t>
  </si>
  <si>
    <t>Smartphone</t>
  </si>
  <si>
    <t>Samsung</t>
  </si>
  <si>
    <t>HP</t>
  </si>
  <si>
    <t>Keyboard</t>
  </si>
  <si>
    <t>Nikon</t>
  </si>
  <si>
    <t>Laptop</t>
  </si>
  <si>
    <t>Asus</t>
  </si>
  <si>
    <t>Boat</t>
  </si>
  <si>
    <t>Canon</t>
  </si>
  <si>
    <t>OnePlus</t>
  </si>
  <si>
    <t>Row Labels</t>
  </si>
  <si>
    <t>Grand Total</t>
  </si>
  <si>
    <t>Sum of Sales</t>
  </si>
  <si>
    <t>Sum of Profit</t>
  </si>
  <si>
    <t>Jan</t>
  </si>
  <si>
    <t>Feb</t>
  </si>
  <si>
    <t>Mar</t>
  </si>
  <si>
    <t>Apr</t>
  </si>
  <si>
    <t>May</t>
  </si>
  <si>
    <t>Jun</t>
  </si>
  <si>
    <t>Jul</t>
  </si>
  <si>
    <t>Aug</t>
  </si>
  <si>
    <t>Sep</t>
  </si>
  <si>
    <t>Oct</t>
  </si>
  <si>
    <t>Nov</t>
  </si>
  <si>
    <t>Dec</t>
  </si>
  <si>
    <t>category</t>
  </si>
  <si>
    <t>profit</t>
  </si>
  <si>
    <t>region</t>
  </si>
  <si>
    <t>sales</t>
  </si>
  <si>
    <t>2022</t>
  </si>
  <si>
    <t>2023</t>
  </si>
  <si>
    <t>2024</t>
  </si>
  <si>
    <t>Sum of Quantity</t>
  </si>
  <si>
    <t>Sum of Profit margin</t>
  </si>
  <si>
    <t>Details for Sum of Sales - Years (Order Date): 2023</t>
  </si>
  <si>
    <t>Count of Category</t>
  </si>
  <si>
    <t>(sales of products)</t>
  </si>
  <si>
    <t>(countif)</t>
  </si>
  <si>
    <t>profit/sales=profit margin</t>
  </si>
  <si>
    <t>c</t>
  </si>
  <si>
    <t>custom combination</t>
  </si>
  <si>
    <t>mouse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</si>
</sst>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quot;₹&quot;\ #,##0.00"/>
    <numFmt numFmtId="165" formatCode="&quot;#&quot;\ 0"/>
    <numFmt numFmtId="166" formatCode="[Green]\▲0.00%;[Red]\▼0.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1">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0" fontId="0" fillId="0" borderId="0" xfId="42" applyNumberFormat="1" applyFont="1"/>
    <xf numFmtId="0" fontId="16" fillId="0" borderId="0" xfId="0" applyFont="1"/>
    <xf numFmtId="166" fontId="0" fillId="0" borderId="0" xfId="0" applyNumberFormat="1"/>
    <xf numFmtId="0" fontId="0" fillId="0" borderId="0" xfId="0" applyAlignment="1">
      <alignment horizontal="left" indent="1"/>
    </xf>
    <xf numFmtId="1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7">
    <dxf>
      <numFmt numFmtId="19" formatCode="dd/mm/yyyy"/>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9" formatCode="dd/mm/yyyy"/>
    </dxf>
    <dxf>
      <font>
        <color theme="0"/>
      </font>
      <fill>
        <patternFill>
          <bgColor theme="1" tint="0.24994659260841701"/>
        </patternFill>
      </fill>
      <border diagonalUp="0" diagonalDown="0">
        <left/>
        <right/>
        <top/>
        <bottom/>
        <vertical/>
        <horizontal/>
      </border>
    </dxf>
  </dxfs>
  <tableStyles count="1" defaultTableStyle="TableStyleMedium2" defaultPivotStyle="PivotStyleLight16">
    <tableStyle name="Slicer Style 1" pivot="0" table="0" count="2" xr9:uid="{93E928D4-D75A-45E6-ACB7-7AE9683A4C85}">
      <tableStyleElement type="wholeTable" dxfId="16"/>
    </tableStyle>
  </tableStyles>
  <extLst>
    <ext xmlns:x14="http://schemas.microsoft.com/office/spreadsheetml/2009/9/main" uri="{46F421CA-312F-682f-3DD2-61675219B42D}">
      <x14:dxfs count="1">
        <dxf>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6.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7.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4.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 Dashboard.xlsx]Sheet2!PivotTable8</c:name>
    <c:fmtId val="1"/>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904761904761904"/>
          <c:y val="0.24691358024691357"/>
          <c:w val="0.82539682539682535"/>
          <c:h val="0.61199294532627868"/>
        </c:manualLayout>
      </c:layout>
      <c:lineChart>
        <c:grouping val="standard"/>
        <c:varyColors val="0"/>
        <c:ser>
          <c:idx val="0"/>
          <c:order val="0"/>
          <c:tx>
            <c:strRef>
              <c:f>Sheet2!$B$1</c:f>
              <c:strCache>
                <c:ptCount val="1"/>
                <c:pt idx="0">
                  <c:v>Total</c:v>
                </c:pt>
              </c:strCache>
            </c:strRef>
          </c:tx>
          <c:spPr>
            <a:ln w="28575" cap="rnd">
              <a:solidFill>
                <a:schemeClr val="accent1"/>
              </a:solidFill>
              <a:round/>
            </a:ln>
            <a:effectLst/>
          </c:spPr>
          <c:marker>
            <c:symbol val="none"/>
          </c:marker>
          <c:cat>
            <c:strRef>
              <c:f>Sheet2!$A$2:$A$14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Sheet2!$B$2:$B$14</c:f>
              <c:numCache>
                <c:formatCode>General</c:formatCode>
                <c:ptCount val="12"/>
                <c:pt idx="0">
                  <c:v>20414</c:v>
                </c:pt>
                <c:pt idx="1">
                  <c:v>23238</c:v>
                </c:pt>
                <c:pt idx="2">
                  <c:v>21052</c:v>
                </c:pt>
                <c:pt idx="3">
                  <c:v>39041</c:v>
                </c:pt>
                <c:pt idx="4">
                  <c:v>40710</c:v>
                </c:pt>
                <c:pt idx="5">
                  <c:v>22521</c:v>
                </c:pt>
                <c:pt idx="6">
                  <c:v>12413</c:v>
                </c:pt>
                <c:pt idx="7">
                  <c:v>14291</c:v>
                </c:pt>
                <c:pt idx="8">
                  <c:v>23714</c:v>
                </c:pt>
                <c:pt idx="9">
                  <c:v>17884</c:v>
                </c:pt>
                <c:pt idx="10">
                  <c:v>6157</c:v>
                </c:pt>
                <c:pt idx="11">
                  <c:v>67088</c:v>
                </c:pt>
              </c:numCache>
            </c:numRef>
          </c:val>
          <c:smooth val="0"/>
          <c:extLst>
            <c:ext xmlns:c16="http://schemas.microsoft.com/office/drawing/2014/chart" uri="{C3380CC4-5D6E-409C-BE32-E72D297353CC}">
              <c16:uniqueId val="{00000000-BCC0-4F72-A859-D627D6D6C293}"/>
            </c:ext>
          </c:extLst>
        </c:ser>
        <c:dLbls>
          <c:showLegendKey val="0"/>
          <c:showVal val="0"/>
          <c:showCatName val="0"/>
          <c:showSerName val="0"/>
          <c:showPercent val="0"/>
          <c:showBubbleSize val="0"/>
        </c:dLbls>
        <c:smooth val="0"/>
        <c:axId val="1583211216"/>
        <c:axId val="1583211696"/>
      </c:lineChart>
      <c:catAx>
        <c:axId val="1583211216"/>
        <c:scaling>
          <c:orientation val="minMax"/>
        </c:scaling>
        <c:delete val="1"/>
        <c:axPos val="b"/>
        <c:numFmt formatCode="General" sourceLinked="1"/>
        <c:majorTickMark val="none"/>
        <c:minorTickMark val="none"/>
        <c:tickLblPos val="nextTo"/>
        <c:crossAx val="1583211696"/>
        <c:crosses val="autoZero"/>
        <c:auto val="1"/>
        <c:lblAlgn val="ctr"/>
        <c:lblOffset val="100"/>
        <c:noMultiLvlLbl val="0"/>
      </c:catAx>
      <c:valAx>
        <c:axId val="1583211696"/>
        <c:scaling>
          <c:orientation val="minMax"/>
        </c:scaling>
        <c:delete val="1"/>
        <c:axPos val="l"/>
        <c:numFmt formatCode="General" sourceLinked="1"/>
        <c:majorTickMark val="none"/>
        <c:minorTickMark val="none"/>
        <c:tickLblPos val="nextTo"/>
        <c:crossAx val="1583211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 Dashboard.xlsx]Sheet2!PivotTable9</c:name>
    <c:fmtId val="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093487254771115E-2"/>
          <c:y val="0.1673878265216848"/>
          <c:w val="0.84463276836158196"/>
          <c:h val="0.72222222222222221"/>
        </c:manualLayout>
      </c:layout>
      <c:lineChart>
        <c:grouping val="stacked"/>
        <c:varyColors val="0"/>
        <c:ser>
          <c:idx val="0"/>
          <c:order val="0"/>
          <c:tx>
            <c:strRef>
              <c:f>Sheet2!$E$1</c:f>
              <c:strCache>
                <c:ptCount val="1"/>
                <c:pt idx="0">
                  <c:v>Total</c:v>
                </c:pt>
              </c:strCache>
            </c:strRef>
          </c:tx>
          <c:spPr>
            <a:ln w="28575" cap="rnd">
              <a:solidFill>
                <a:schemeClr val="accent1"/>
              </a:solidFill>
              <a:round/>
            </a:ln>
            <a:effectLst/>
          </c:spPr>
          <c:marker>
            <c:symbol val="none"/>
          </c:marker>
          <c:cat>
            <c:strRef>
              <c:f>Sheet2!$D$2:$D$14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Sheet2!$E$2:$E$14</c:f>
              <c:numCache>
                <c:formatCode>General</c:formatCode>
                <c:ptCount val="12"/>
                <c:pt idx="0">
                  <c:v>4829.76</c:v>
                </c:pt>
                <c:pt idx="1">
                  <c:v>3724.3599999999997</c:v>
                </c:pt>
                <c:pt idx="2">
                  <c:v>3249.9300000000003</c:v>
                </c:pt>
                <c:pt idx="3">
                  <c:v>6242.01</c:v>
                </c:pt>
                <c:pt idx="4">
                  <c:v>6251.68</c:v>
                </c:pt>
                <c:pt idx="5">
                  <c:v>2547.11</c:v>
                </c:pt>
                <c:pt idx="6">
                  <c:v>2451.6799999999998</c:v>
                </c:pt>
                <c:pt idx="7">
                  <c:v>2212.67</c:v>
                </c:pt>
                <c:pt idx="8">
                  <c:v>5293.8099999999995</c:v>
                </c:pt>
                <c:pt idx="9">
                  <c:v>2931.83</c:v>
                </c:pt>
                <c:pt idx="10">
                  <c:v>1404.62</c:v>
                </c:pt>
                <c:pt idx="11">
                  <c:v>12197.06</c:v>
                </c:pt>
              </c:numCache>
            </c:numRef>
          </c:val>
          <c:smooth val="0"/>
          <c:extLst>
            <c:ext xmlns:c16="http://schemas.microsoft.com/office/drawing/2014/chart" uri="{C3380CC4-5D6E-409C-BE32-E72D297353CC}">
              <c16:uniqueId val="{00000002-BEA8-4038-982F-C03D6FBAA159}"/>
            </c:ext>
          </c:extLst>
        </c:ser>
        <c:dLbls>
          <c:showLegendKey val="0"/>
          <c:showVal val="0"/>
          <c:showCatName val="0"/>
          <c:showSerName val="0"/>
          <c:showPercent val="0"/>
          <c:showBubbleSize val="0"/>
        </c:dLbls>
        <c:smooth val="0"/>
        <c:axId val="1568667088"/>
        <c:axId val="1224470944"/>
      </c:lineChart>
      <c:catAx>
        <c:axId val="1568667088"/>
        <c:scaling>
          <c:orientation val="minMax"/>
        </c:scaling>
        <c:delete val="1"/>
        <c:axPos val="b"/>
        <c:numFmt formatCode="General" sourceLinked="1"/>
        <c:majorTickMark val="none"/>
        <c:minorTickMark val="none"/>
        <c:tickLblPos val="nextTo"/>
        <c:crossAx val="1224470944"/>
        <c:crosses val="autoZero"/>
        <c:auto val="1"/>
        <c:lblAlgn val="ctr"/>
        <c:lblOffset val="100"/>
        <c:noMultiLvlLbl val="0"/>
      </c:catAx>
      <c:valAx>
        <c:axId val="1224470944"/>
        <c:scaling>
          <c:orientation val="minMax"/>
        </c:scaling>
        <c:delete val="1"/>
        <c:axPos val="l"/>
        <c:numFmt formatCode="General" sourceLinked="1"/>
        <c:majorTickMark val="none"/>
        <c:minorTickMark val="none"/>
        <c:tickLblPos val="nextTo"/>
        <c:crossAx val="1568667088"/>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 Dashboard.xlsx]Sheet2!PivotTable10</c:name>
    <c:fmtId val="3"/>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9435028248587573E-2"/>
          <c:y val="0.16908212560386474"/>
          <c:w val="0.84463276836158196"/>
          <c:h val="0.7342995169082126"/>
        </c:manualLayout>
      </c:layout>
      <c:lineChart>
        <c:grouping val="stacked"/>
        <c:varyColors val="0"/>
        <c:ser>
          <c:idx val="0"/>
          <c:order val="0"/>
          <c:tx>
            <c:strRef>
              <c:f>Sheet2!$H$1</c:f>
              <c:strCache>
                <c:ptCount val="1"/>
                <c:pt idx="0">
                  <c:v>Total</c:v>
                </c:pt>
              </c:strCache>
            </c:strRef>
          </c:tx>
          <c:spPr>
            <a:ln w="28575" cap="rnd">
              <a:solidFill>
                <a:schemeClr val="accent1"/>
              </a:solidFill>
              <a:round/>
            </a:ln>
            <a:effectLst/>
          </c:spPr>
          <c:marker>
            <c:symbol val="none"/>
          </c:marker>
          <c:cat>
            <c:strRef>
              <c:f>Sheet2!$G$2:$G$14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Sheet2!$H$2:$H$14</c:f>
              <c:numCache>
                <c:formatCode>General</c:formatCode>
                <c:ptCount val="12"/>
                <c:pt idx="0">
                  <c:v>37</c:v>
                </c:pt>
                <c:pt idx="1">
                  <c:v>36</c:v>
                </c:pt>
                <c:pt idx="2">
                  <c:v>26</c:v>
                </c:pt>
                <c:pt idx="3">
                  <c:v>51</c:v>
                </c:pt>
                <c:pt idx="4">
                  <c:v>56</c:v>
                </c:pt>
                <c:pt idx="5">
                  <c:v>42</c:v>
                </c:pt>
                <c:pt idx="6">
                  <c:v>23</c:v>
                </c:pt>
                <c:pt idx="7">
                  <c:v>21</c:v>
                </c:pt>
                <c:pt idx="8">
                  <c:v>31</c:v>
                </c:pt>
                <c:pt idx="9">
                  <c:v>44</c:v>
                </c:pt>
                <c:pt idx="10">
                  <c:v>23</c:v>
                </c:pt>
                <c:pt idx="11">
                  <c:v>82</c:v>
                </c:pt>
              </c:numCache>
            </c:numRef>
          </c:val>
          <c:smooth val="0"/>
          <c:extLst>
            <c:ext xmlns:c16="http://schemas.microsoft.com/office/drawing/2014/chart" uri="{C3380CC4-5D6E-409C-BE32-E72D297353CC}">
              <c16:uniqueId val="{00000000-0F32-4AF0-88D2-9CF5402D928F}"/>
            </c:ext>
          </c:extLst>
        </c:ser>
        <c:dLbls>
          <c:showLegendKey val="0"/>
          <c:showVal val="0"/>
          <c:showCatName val="0"/>
          <c:showSerName val="0"/>
          <c:showPercent val="0"/>
          <c:showBubbleSize val="0"/>
        </c:dLbls>
        <c:smooth val="0"/>
        <c:axId val="1605750768"/>
        <c:axId val="1605758928"/>
      </c:lineChart>
      <c:catAx>
        <c:axId val="1605750768"/>
        <c:scaling>
          <c:orientation val="minMax"/>
        </c:scaling>
        <c:delete val="1"/>
        <c:axPos val="b"/>
        <c:numFmt formatCode="General" sourceLinked="1"/>
        <c:majorTickMark val="none"/>
        <c:minorTickMark val="none"/>
        <c:tickLblPos val="nextTo"/>
        <c:crossAx val="1605758928"/>
        <c:crosses val="autoZero"/>
        <c:auto val="1"/>
        <c:lblAlgn val="ctr"/>
        <c:lblOffset val="100"/>
        <c:noMultiLvlLbl val="0"/>
      </c:catAx>
      <c:valAx>
        <c:axId val="1605758928"/>
        <c:scaling>
          <c:orientation val="minMax"/>
        </c:scaling>
        <c:delete val="1"/>
        <c:axPos val="l"/>
        <c:numFmt formatCode="General" sourceLinked="1"/>
        <c:majorTickMark val="none"/>
        <c:minorTickMark val="none"/>
        <c:tickLblPos val="nextTo"/>
        <c:crossAx val="1605750768"/>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 Dashboard.xlsx]Sheet2!PivotTable11</c:name>
    <c:fmtId val="6"/>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62694300518134"/>
          <c:y val="0.19230769230769232"/>
          <c:w val="0.81001727115716748"/>
          <c:h val="0.64743589743589747"/>
        </c:manualLayout>
      </c:layout>
      <c:lineChart>
        <c:grouping val="stacked"/>
        <c:varyColors val="0"/>
        <c:ser>
          <c:idx val="0"/>
          <c:order val="0"/>
          <c:tx>
            <c:strRef>
              <c:f>Sheet2!$K$1</c:f>
              <c:strCache>
                <c:ptCount val="1"/>
                <c:pt idx="0">
                  <c:v>Total</c:v>
                </c:pt>
              </c:strCache>
            </c:strRef>
          </c:tx>
          <c:spPr>
            <a:ln w="28575" cap="rnd">
              <a:solidFill>
                <a:schemeClr val="accent1"/>
              </a:solidFill>
              <a:round/>
            </a:ln>
            <a:effectLst/>
          </c:spPr>
          <c:marker>
            <c:symbol val="none"/>
          </c:marker>
          <c:cat>
            <c:strRef>
              <c:f>Sheet2!$J$2:$J$14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Sheet2!$K$2:$K$14</c:f>
              <c:numCache>
                <c:formatCode>General</c:formatCode>
                <c:ptCount val="12"/>
                <c:pt idx="0">
                  <c:v>0.2365905750955227</c:v>
                </c:pt>
                <c:pt idx="1">
                  <c:v>0.16027024700920903</c:v>
                </c:pt>
                <c:pt idx="2">
                  <c:v>0.15437630628918869</c:v>
                </c:pt>
                <c:pt idx="3">
                  <c:v>0.1598834558541021</c:v>
                </c:pt>
                <c:pt idx="4">
                  <c:v>0.15356619995087203</c:v>
                </c:pt>
                <c:pt idx="5">
                  <c:v>0.1130993295146752</c:v>
                </c:pt>
                <c:pt idx="6">
                  <c:v>0.19750906307903004</c:v>
                </c:pt>
                <c:pt idx="7">
                  <c:v>0.15482961304317402</c:v>
                </c:pt>
                <c:pt idx="8">
                  <c:v>0.22323564139326979</c:v>
                </c:pt>
                <c:pt idx="9">
                  <c:v>0.16393592037575486</c:v>
                </c:pt>
                <c:pt idx="10">
                  <c:v>0.22813383141140164</c:v>
                </c:pt>
                <c:pt idx="11">
                  <c:v>0.18180688051514429</c:v>
                </c:pt>
              </c:numCache>
            </c:numRef>
          </c:val>
          <c:smooth val="0"/>
          <c:extLst>
            <c:ext xmlns:c16="http://schemas.microsoft.com/office/drawing/2014/chart" uri="{C3380CC4-5D6E-409C-BE32-E72D297353CC}">
              <c16:uniqueId val="{00000000-3413-490D-AE5A-B1CFDF0410A1}"/>
            </c:ext>
          </c:extLst>
        </c:ser>
        <c:dLbls>
          <c:showLegendKey val="0"/>
          <c:showVal val="0"/>
          <c:showCatName val="0"/>
          <c:showSerName val="0"/>
          <c:showPercent val="0"/>
          <c:showBubbleSize val="0"/>
        </c:dLbls>
        <c:smooth val="0"/>
        <c:axId val="1747623936"/>
        <c:axId val="1747620576"/>
      </c:lineChart>
      <c:catAx>
        <c:axId val="1747623936"/>
        <c:scaling>
          <c:orientation val="minMax"/>
        </c:scaling>
        <c:delete val="1"/>
        <c:axPos val="b"/>
        <c:numFmt formatCode="General" sourceLinked="1"/>
        <c:majorTickMark val="none"/>
        <c:minorTickMark val="none"/>
        <c:tickLblPos val="nextTo"/>
        <c:crossAx val="1747620576"/>
        <c:crosses val="autoZero"/>
        <c:auto val="1"/>
        <c:lblAlgn val="ctr"/>
        <c:lblOffset val="100"/>
        <c:noMultiLvlLbl val="0"/>
      </c:catAx>
      <c:valAx>
        <c:axId val="1747620576"/>
        <c:scaling>
          <c:orientation val="minMax"/>
        </c:scaling>
        <c:delete val="1"/>
        <c:axPos val="l"/>
        <c:numFmt formatCode="General" sourceLinked="1"/>
        <c:majorTickMark val="none"/>
        <c:minorTickMark val="none"/>
        <c:tickLblPos val="nextTo"/>
        <c:crossAx val="1747623936"/>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 Dashboard.xlsx]Sheet2!PivotTable9</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bg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5760498687664046E-2"/>
          <c:y val="0.14234680832930885"/>
          <c:w val="0.84463276836158196"/>
          <c:h val="0.72222222222222221"/>
        </c:manualLayout>
      </c:layout>
      <c:lineChart>
        <c:grouping val="stacked"/>
        <c:varyColors val="0"/>
        <c:ser>
          <c:idx val="0"/>
          <c:order val="0"/>
          <c:tx>
            <c:strRef>
              <c:f>Sheet2!$E$1</c:f>
              <c:strCache>
                <c:ptCount val="1"/>
                <c:pt idx="0">
                  <c:v>Total</c:v>
                </c:pt>
              </c:strCache>
            </c:strRef>
          </c:tx>
          <c:spPr>
            <a:ln w="34925" cap="rnd">
              <a:solidFill>
                <a:schemeClr val="bg1">
                  <a:lumMod val="75000"/>
                </a:schemeClr>
              </a:solidFill>
              <a:round/>
            </a:ln>
            <a:effectLst/>
          </c:spPr>
          <c:marker>
            <c:symbol val="none"/>
          </c:marker>
          <c:cat>
            <c:strRef>
              <c:f>Sheet2!$D$2:$D$14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Sheet2!$E$2:$E$14</c:f>
              <c:numCache>
                <c:formatCode>General</c:formatCode>
                <c:ptCount val="12"/>
                <c:pt idx="0">
                  <c:v>4829.76</c:v>
                </c:pt>
                <c:pt idx="1">
                  <c:v>3724.3599999999997</c:v>
                </c:pt>
                <c:pt idx="2">
                  <c:v>3249.9300000000003</c:v>
                </c:pt>
                <c:pt idx="3">
                  <c:v>6242.01</c:v>
                </c:pt>
                <c:pt idx="4">
                  <c:v>6251.68</c:v>
                </c:pt>
                <c:pt idx="5">
                  <c:v>2547.11</c:v>
                </c:pt>
                <c:pt idx="6">
                  <c:v>2451.6799999999998</c:v>
                </c:pt>
                <c:pt idx="7">
                  <c:v>2212.67</c:v>
                </c:pt>
                <c:pt idx="8">
                  <c:v>5293.8099999999995</c:v>
                </c:pt>
                <c:pt idx="9">
                  <c:v>2931.83</c:v>
                </c:pt>
                <c:pt idx="10">
                  <c:v>1404.62</c:v>
                </c:pt>
                <c:pt idx="11">
                  <c:v>12197.06</c:v>
                </c:pt>
              </c:numCache>
            </c:numRef>
          </c:val>
          <c:smooth val="0"/>
          <c:extLst>
            <c:ext xmlns:c16="http://schemas.microsoft.com/office/drawing/2014/chart" uri="{C3380CC4-5D6E-409C-BE32-E72D297353CC}">
              <c16:uniqueId val="{00000000-970B-4F22-B43A-11100A01942A}"/>
            </c:ext>
          </c:extLst>
        </c:ser>
        <c:dLbls>
          <c:showLegendKey val="0"/>
          <c:showVal val="0"/>
          <c:showCatName val="0"/>
          <c:showSerName val="0"/>
          <c:showPercent val="0"/>
          <c:showBubbleSize val="0"/>
        </c:dLbls>
        <c:smooth val="0"/>
        <c:axId val="1568667088"/>
        <c:axId val="1224470944"/>
      </c:lineChart>
      <c:catAx>
        <c:axId val="1568667088"/>
        <c:scaling>
          <c:orientation val="minMax"/>
        </c:scaling>
        <c:delete val="1"/>
        <c:axPos val="b"/>
        <c:numFmt formatCode="General" sourceLinked="1"/>
        <c:majorTickMark val="none"/>
        <c:minorTickMark val="none"/>
        <c:tickLblPos val="nextTo"/>
        <c:crossAx val="1224470944"/>
        <c:crosses val="autoZero"/>
        <c:auto val="1"/>
        <c:lblAlgn val="ctr"/>
        <c:lblOffset val="100"/>
        <c:noMultiLvlLbl val="0"/>
      </c:catAx>
      <c:valAx>
        <c:axId val="1224470944"/>
        <c:scaling>
          <c:orientation val="minMax"/>
        </c:scaling>
        <c:delete val="1"/>
        <c:axPos val="l"/>
        <c:numFmt formatCode="General" sourceLinked="1"/>
        <c:majorTickMark val="none"/>
        <c:minorTickMark val="none"/>
        <c:tickLblPos val="nextTo"/>
        <c:crossAx val="1568667088"/>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 Dashboard.xlsx]Sheet2!PivotTable10</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6602798119326589E-2"/>
          <c:y val="0.16908178536843033"/>
          <c:w val="0.84463276836158196"/>
          <c:h val="0.7342995169082126"/>
        </c:manualLayout>
      </c:layout>
      <c:lineChart>
        <c:grouping val="stacked"/>
        <c:varyColors val="0"/>
        <c:ser>
          <c:idx val="0"/>
          <c:order val="0"/>
          <c:tx>
            <c:strRef>
              <c:f>Sheet2!$H$1</c:f>
              <c:strCache>
                <c:ptCount val="1"/>
                <c:pt idx="0">
                  <c:v>Total</c:v>
                </c:pt>
              </c:strCache>
            </c:strRef>
          </c:tx>
          <c:spPr>
            <a:ln w="28575" cap="rnd">
              <a:solidFill>
                <a:schemeClr val="bg1">
                  <a:lumMod val="85000"/>
                </a:schemeClr>
              </a:solidFill>
              <a:round/>
            </a:ln>
            <a:effectLst/>
          </c:spPr>
          <c:marker>
            <c:symbol val="none"/>
          </c:marker>
          <c:cat>
            <c:strRef>
              <c:f>Sheet2!$G$2:$G$14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Sheet2!$H$2:$H$14</c:f>
              <c:numCache>
                <c:formatCode>General</c:formatCode>
                <c:ptCount val="12"/>
                <c:pt idx="0">
                  <c:v>37</c:v>
                </c:pt>
                <c:pt idx="1">
                  <c:v>36</c:v>
                </c:pt>
                <c:pt idx="2">
                  <c:v>26</c:v>
                </c:pt>
                <c:pt idx="3">
                  <c:v>51</c:v>
                </c:pt>
                <c:pt idx="4">
                  <c:v>56</c:v>
                </c:pt>
                <c:pt idx="5">
                  <c:v>42</c:v>
                </c:pt>
                <c:pt idx="6">
                  <c:v>23</c:v>
                </c:pt>
                <c:pt idx="7">
                  <c:v>21</c:v>
                </c:pt>
                <c:pt idx="8">
                  <c:v>31</c:v>
                </c:pt>
                <c:pt idx="9">
                  <c:v>44</c:v>
                </c:pt>
                <c:pt idx="10">
                  <c:v>23</c:v>
                </c:pt>
                <c:pt idx="11">
                  <c:v>82</c:v>
                </c:pt>
              </c:numCache>
            </c:numRef>
          </c:val>
          <c:smooth val="0"/>
          <c:extLst>
            <c:ext xmlns:c16="http://schemas.microsoft.com/office/drawing/2014/chart" uri="{C3380CC4-5D6E-409C-BE32-E72D297353CC}">
              <c16:uniqueId val="{00000000-94D0-471B-A55B-14FE2887EB15}"/>
            </c:ext>
          </c:extLst>
        </c:ser>
        <c:dLbls>
          <c:showLegendKey val="0"/>
          <c:showVal val="0"/>
          <c:showCatName val="0"/>
          <c:showSerName val="0"/>
          <c:showPercent val="0"/>
          <c:showBubbleSize val="0"/>
        </c:dLbls>
        <c:smooth val="0"/>
        <c:axId val="1605750768"/>
        <c:axId val="1605758928"/>
      </c:lineChart>
      <c:catAx>
        <c:axId val="1605750768"/>
        <c:scaling>
          <c:orientation val="minMax"/>
        </c:scaling>
        <c:delete val="1"/>
        <c:axPos val="b"/>
        <c:numFmt formatCode="General" sourceLinked="1"/>
        <c:majorTickMark val="none"/>
        <c:minorTickMark val="none"/>
        <c:tickLblPos val="nextTo"/>
        <c:crossAx val="1605758928"/>
        <c:crosses val="autoZero"/>
        <c:auto val="1"/>
        <c:lblAlgn val="ctr"/>
        <c:lblOffset val="100"/>
        <c:noMultiLvlLbl val="0"/>
      </c:catAx>
      <c:valAx>
        <c:axId val="1605758928"/>
        <c:scaling>
          <c:orientation val="minMax"/>
        </c:scaling>
        <c:delete val="1"/>
        <c:axPos val="l"/>
        <c:numFmt formatCode="General" sourceLinked="1"/>
        <c:majorTickMark val="none"/>
        <c:minorTickMark val="none"/>
        <c:tickLblPos val="nextTo"/>
        <c:crossAx val="1605750768"/>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 Dashboard.xlsx]Sheet2!PivotTable11</c:name>
    <c:fmtId val="8"/>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93709480112822"/>
          <c:y val="0.2778735990351997"/>
          <c:w val="0.81001727115716748"/>
          <c:h val="0.51908714531630562"/>
        </c:manualLayout>
      </c:layout>
      <c:lineChart>
        <c:grouping val="stacked"/>
        <c:varyColors val="0"/>
        <c:ser>
          <c:idx val="0"/>
          <c:order val="0"/>
          <c:tx>
            <c:strRef>
              <c:f>Sheet2!$K$1</c:f>
              <c:strCache>
                <c:ptCount val="1"/>
                <c:pt idx="0">
                  <c:v>Total</c:v>
                </c:pt>
              </c:strCache>
            </c:strRef>
          </c:tx>
          <c:spPr>
            <a:ln w="28575" cap="rnd">
              <a:solidFill>
                <a:schemeClr val="bg1">
                  <a:lumMod val="85000"/>
                </a:schemeClr>
              </a:solidFill>
              <a:round/>
            </a:ln>
            <a:effectLst/>
          </c:spPr>
          <c:marker>
            <c:symbol val="none"/>
          </c:marker>
          <c:cat>
            <c:strRef>
              <c:f>Sheet2!$J$2:$J$14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Sheet2!$K$2:$K$14</c:f>
              <c:numCache>
                <c:formatCode>General</c:formatCode>
                <c:ptCount val="12"/>
                <c:pt idx="0">
                  <c:v>0.2365905750955227</c:v>
                </c:pt>
                <c:pt idx="1">
                  <c:v>0.16027024700920903</c:v>
                </c:pt>
                <c:pt idx="2">
                  <c:v>0.15437630628918869</c:v>
                </c:pt>
                <c:pt idx="3">
                  <c:v>0.1598834558541021</c:v>
                </c:pt>
                <c:pt idx="4">
                  <c:v>0.15356619995087203</c:v>
                </c:pt>
                <c:pt idx="5">
                  <c:v>0.1130993295146752</c:v>
                </c:pt>
                <c:pt idx="6">
                  <c:v>0.19750906307903004</c:v>
                </c:pt>
                <c:pt idx="7">
                  <c:v>0.15482961304317402</c:v>
                </c:pt>
                <c:pt idx="8">
                  <c:v>0.22323564139326979</c:v>
                </c:pt>
                <c:pt idx="9">
                  <c:v>0.16393592037575486</c:v>
                </c:pt>
                <c:pt idx="10">
                  <c:v>0.22813383141140164</c:v>
                </c:pt>
                <c:pt idx="11">
                  <c:v>0.18180688051514429</c:v>
                </c:pt>
              </c:numCache>
            </c:numRef>
          </c:val>
          <c:smooth val="0"/>
          <c:extLst>
            <c:ext xmlns:c16="http://schemas.microsoft.com/office/drawing/2014/chart" uri="{C3380CC4-5D6E-409C-BE32-E72D297353CC}">
              <c16:uniqueId val="{00000000-48A7-4B2D-98BF-1273C7286240}"/>
            </c:ext>
          </c:extLst>
        </c:ser>
        <c:dLbls>
          <c:showLegendKey val="0"/>
          <c:showVal val="0"/>
          <c:showCatName val="0"/>
          <c:showSerName val="0"/>
          <c:showPercent val="0"/>
          <c:showBubbleSize val="0"/>
        </c:dLbls>
        <c:smooth val="0"/>
        <c:axId val="1747623936"/>
        <c:axId val="1747620576"/>
      </c:lineChart>
      <c:catAx>
        <c:axId val="1747623936"/>
        <c:scaling>
          <c:orientation val="minMax"/>
        </c:scaling>
        <c:delete val="1"/>
        <c:axPos val="b"/>
        <c:numFmt formatCode="General" sourceLinked="1"/>
        <c:majorTickMark val="none"/>
        <c:minorTickMark val="none"/>
        <c:tickLblPos val="nextTo"/>
        <c:crossAx val="1747620576"/>
        <c:crosses val="autoZero"/>
        <c:auto val="1"/>
        <c:lblAlgn val="ctr"/>
        <c:lblOffset val="100"/>
        <c:noMultiLvlLbl val="0"/>
      </c:catAx>
      <c:valAx>
        <c:axId val="1747620576"/>
        <c:scaling>
          <c:orientation val="minMax"/>
        </c:scaling>
        <c:delete val="1"/>
        <c:axPos val="l"/>
        <c:numFmt formatCode="General" sourceLinked="1"/>
        <c:majorTickMark val="none"/>
        <c:minorTickMark val="none"/>
        <c:tickLblPos val="nextTo"/>
        <c:crossAx val="1747623936"/>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 Dashboard.xlsx]Sheet2!PivotTable8</c:name>
    <c:fmtId val="6"/>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6880385959686785E-2"/>
          <c:y val="0.18166521955805814"/>
          <c:w val="0.82539682539682535"/>
          <c:h val="0.61199294532627868"/>
        </c:manualLayout>
      </c:layout>
      <c:lineChart>
        <c:grouping val="standard"/>
        <c:varyColors val="0"/>
        <c:ser>
          <c:idx val="0"/>
          <c:order val="0"/>
          <c:tx>
            <c:strRef>
              <c:f>Sheet2!$B$1</c:f>
              <c:strCache>
                <c:ptCount val="1"/>
                <c:pt idx="0">
                  <c:v>Total</c:v>
                </c:pt>
              </c:strCache>
            </c:strRef>
          </c:tx>
          <c:spPr>
            <a:ln w="28575" cap="rnd">
              <a:solidFill>
                <a:schemeClr val="bg1">
                  <a:lumMod val="75000"/>
                </a:schemeClr>
              </a:solidFill>
              <a:round/>
            </a:ln>
            <a:effectLst/>
          </c:spPr>
          <c:marker>
            <c:symbol val="none"/>
          </c:marker>
          <c:cat>
            <c:strRef>
              <c:f>Sheet2!$A$2:$A$14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Sheet2!$B$2:$B$14</c:f>
              <c:numCache>
                <c:formatCode>General</c:formatCode>
                <c:ptCount val="12"/>
                <c:pt idx="0">
                  <c:v>20414</c:v>
                </c:pt>
                <c:pt idx="1">
                  <c:v>23238</c:v>
                </c:pt>
                <c:pt idx="2">
                  <c:v>21052</c:v>
                </c:pt>
                <c:pt idx="3">
                  <c:v>39041</c:v>
                </c:pt>
                <c:pt idx="4">
                  <c:v>40710</c:v>
                </c:pt>
                <c:pt idx="5">
                  <c:v>22521</c:v>
                </c:pt>
                <c:pt idx="6">
                  <c:v>12413</c:v>
                </c:pt>
                <c:pt idx="7">
                  <c:v>14291</c:v>
                </c:pt>
                <c:pt idx="8">
                  <c:v>23714</c:v>
                </c:pt>
                <c:pt idx="9">
                  <c:v>17884</c:v>
                </c:pt>
                <c:pt idx="10">
                  <c:v>6157</c:v>
                </c:pt>
                <c:pt idx="11">
                  <c:v>67088</c:v>
                </c:pt>
              </c:numCache>
            </c:numRef>
          </c:val>
          <c:smooth val="0"/>
          <c:extLst>
            <c:ext xmlns:c16="http://schemas.microsoft.com/office/drawing/2014/chart" uri="{C3380CC4-5D6E-409C-BE32-E72D297353CC}">
              <c16:uniqueId val="{00000000-35BA-4B32-A39F-56105D8B8083}"/>
            </c:ext>
          </c:extLst>
        </c:ser>
        <c:dLbls>
          <c:showLegendKey val="0"/>
          <c:showVal val="0"/>
          <c:showCatName val="0"/>
          <c:showSerName val="0"/>
          <c:showPercent val="0"/>
          <c:showBubbleSize val="0"/>
        </c:dLbls>
        <c:smooth val="0"/>
        <c:axId val="1583211216"/>
        <c:axId val="1583211696"/>
      </c:lineChart>
      <c:catAx>
        <c:axId val="1583211216"/>
        <c:scaling>
          <c:orientation val="minMax"/>
        </c:scaling>
        <c:delete val="1"/>
        <c:axPos val="b"/>
        <c:numFmt formatCode="General" sourceLinked="1"/>
        <c:majorTickMark val="none"/>
        <c:minorTickMark val="none"/>
        <c:tickLblPos val="nextTo"/>
        <c:crossAx val="1583211696"/>
        <c:crosses val="autoZero"/>
        <c:auto val="1"/>
        <c:lblAlgn val="ctr"/>
        <c:lblOffset val="100"/>
        <c:noMultiLvlLbl val="0"/>
      </c:catAx>
      <c:valAx>
        <c:axId val="1583211696"/>
        <c:scaling>
          <c:orientation val="minMax"/>
        </c:scaling>
        <c:delete val="1"/>
        <c:axPos val="l"/>
        <c:numFmt formatCode="General" sourceLinked="1"/>
        <c:majorTickMark val="none"/>
        <c:minorTickMark val="none"/>
        <c:tickLblPos val="nextTo"/>
        <c:crossAx val="1583211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 Dashboard.xlsx]Sheet1!PivotTable3</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1"/>
          <c:order val="1"/>
          <c:tx>
            <c:strRef>
              <c:f>Sheet1!$C$1</c:f>
              <c:strCache>
                <c:ptCount val="1"/>
                <c:pt idx="0">
                  <c:v>Sum of Profit</c:v>
                </c:pt>
              </c:strCache>
            </c:strRef>
          </c:tx>
          <c:spPr>
            <a:solidFill>
              <a:schemeClr val="tx2">
                <a:lumMod val="50000"/>
                <a:lumOff val="50000"/>
              </a:schemeClr>
            </a:solidFill>
            <a:ln>
              <a:noFill/>
            </a:ln>
            <a:effectLst/>
          </c:spPr>
          <c:cat>
            <c:strRef>
              <c:f>Sheet1!$A$2:$A$14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Sheet1!$C$2:$C$14</c:f>
              <c:numCache>
                <c:formatCode>"₹"\ #,##0.00</c:formatCode>
                <c:ptCount val="12"/>
                <c:pt idx="0">
                  <c:v>4829.76</c:v>
                </c:pt>
                <c:pt idx="1">
                  <c:v>3724.3599999999997</c:v>
                </c:pt>
                <c:pt idx="2">
                  <c:v>3249.9300000000003</c:v>
                </c:pt>
                <c:pt idx="3">
                  <c:v>6242.01</c:v>
                </c:pt>
                <c:pt idx="4">
                  <c:v>6251.68</c:v>
                </c:pt>
                <c:pt idx="5">
                  <c:v>2547.11</c:v>
                </c:pt>
                <c:pt idx="6">
                  <c:v>2451.6799999999998</c:v>
                </c:pt>
                <c:pt idx="7">
                  <c:v>2212.67</c:v>
                </c:pt>
                <c:pt idx="8">
                  <c:v>5293.8099999999995</c:v>
                </c:pt>
                <c:pt idx="9">
                  <c:v>2931.83</c:v>
                </c:pt>
                <c:pt idx="10">
                  <c:v>1404.62</c:v>
                </c:pt>
                <c:pt idx="11">
                  <c:v>12197.06</c:v>
                </c:pt>
              </c:numCache>
            </c:numRef>
          </c:val>
          <c:extLst>
            <c:ext xmlns:c16="http://schemas.microsoft.com/office/drawing/2014/chart" uri="{C3380CC4-5D6E-409C-BE32-E72D297353CC}">
              <c16:uniqueId val="{00000001-EDD4-4B68-BF5E-13D14844C5B0}"/>
            </c:ext>
          </c:extLst>
        </c:ser>
        <c:dLbls>
          <c:showLegendKey val="0"/>
          <c:showVal val="0"/>
          <c:showCatName val="0"/>
          <c:showSerName val="0"/>
          <c:showPercent val="0"/>
          <c:showBubbleSize val="0"/>
        </c:dLbls>
        <c:axId val="544114544"/>
        <c:axId val="1067071040"/>
      </c:areaChart>
      <c:barChart>
        <c:barDir val="col"/>
        <c:grouping val="clustered"/>
        <c:varyColors val="0"/>
        <c:ser>
          <c:idx val="0"/>
          <c:order val="0"/>
          <c:tx>
            <c:strRef>
              <c:f>Sheet1!$B$1</c:f>
              <c:strCache>
                <c:ptCount val="1"/>
                <c:pt idx="0">
                  <c:v>Sum of Sales</c:v>
                </c:pt>
              </c:strCache>
            </c:strRef>
          </c:tx>
          <c:spPr>
            <a:solidFill>
              <a:schemeClr val="bg2"/>
            </a:solidFill>
            <a:ln>
              <a:noFill/>
            </a:ln>
            <a:effectLst/>
          </c:spPr>
          <c:invertIfNegative val="0"/>
          <c:cat>
            <c:strRef>
              <c:f>Sheet1!$A$2:$A$14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Sheet1!$B$2:$B$14</c:f>
              <c:numCache>
                <c:formatCode>"₹"\ #,##0.00</c:formatCode>
                <c:ptCount val="12"/>
                <c:pt idx="0">
                  <c:v>20414</c:v>
                </c:pt>
                <c:pt idx="1">
                  <c:v>23238</c:v>
                </c:pt>
                <c:pt idx="2">
                  <c:v>21052</c:v>
                </c:pt>
                <c:pt idx="3">
                  <c:v>39041</c:v>
                </c:pt>
                <c:pt idx="4">
                  <c:v>40710</c:v>
                </c:pt>
                <c:pt idx="5">
                  <c:v>22521</c:v>
                </c:pt>
                <c:pt idx="6">
                  <c:v>12413</c:v>
                </c:pt>
                <c:pt idx="7">
                  <c:v>14291</c:v>
                </c:pt>
                <c:pt idx="8">
                  <c:v>23714</c:v>
                </c:pt>
                <c:pt idx="9">
                  <c:v>17884</c:v>
                </c:pt>
                <c:pt idx="10">
                  <c:v>6157</c:v>
                </c:pt>
                <c:pt idx="11">
                  <c:v>67088</c:v>
                </c:pt>
              </c:numCache>
            </c:numRef>
          </c:val>
          <c:extLst>
            <c:ext xmlns:c16="http://schemas.microsoft.com/office/drawing/2014/chart" uri="{C3380CC4-5D6E-409C-BE32-E72D297353CC}">
              <c16:uniqueId val="{00000000-EDD4-4B68-BF5E-13D14844C5B0}"/>
            </c:ext>
          </c:extLst>
        </c:ser>
        <c:dLbls>
          <c:showLegendKey val="0"/>
          <c:showVal val="0"/>
          <c:showCatName val="0"/>
          <c:showSerName val="0"/>
          <c:showPercent val="0"/>
          <c:showBubbleSize val="0"/>
        </c:dLbls>
        <c:gapWidth val="140"/>
        <c:overlap val="-27"/>
        <c:axId val="1430182000"/>
        <c:axId val="1430181040"/>
      </c:barChart>
      <c:catAx>
        <c:axId val="5441145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67071040"/>
        <c:crosses val="autoZero"/>
        <c:auto val="1"/>
        <c:lblAlgn val="ctr"/>
        <c:lblOffset val="100"/>
        <c:noMultiLvlLbl val="0"/>
      </c:catAx>
      <c:valAx>
        <c:axId val="1067071040"/>
        <c:scaling>
          <c:orientation val="minMax"/>
        </c:scaling>
        <c:delete val="0"/>
        <c:axPos val="l"/>
        <c:numFmt formatCode="&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44114544"/>
        <c:crosses val="autoZero"/>
        <c:crossBetween val="between"/>
      </c:valAx>
      <c:valAx>
        <c:axId val="1430181040"/>
        <c:scaling>
          <c:orientation val="minMax"/>
        </c:scaling>
        <c:delete val="0"/>
        <c:axPos val="r"/>
        <c:numFmt formatCode="&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30182000"/>
        <c:crosses val="max"/>
        <c:crossBetween val="between"/>
      </c:valAx>
      <c:catAx>
        <c:axId val="1430182000"/>
        <c:scaling>
          <c:orientation val="minMax"/>
        </c:scaling>
        <c:delete val="1"/>
        <c:axPos val="b"/>
        <c:numFmt formatCode="General" sourceLinked="1"/>
        <c:majorTickMark val="out"/>
        <c:minorTickMark val="none"/>
        <c:tickLblPos val="nextTo"/>
        <c:crossAx val="143018104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 Dashboard.xlsx]Sheet1!PivotTable11</c:name>
    <c:fmtId val="8"/>
  </c:pivotSource>
  <c:chart>
    <c:autoTitleDeleted val="1"/>
    <c:pivotFmts>
      <c:pivotFmt>
        <c:idx val="0"/>
        <c:spPr>
          <a:solidFill>
            <a:schemeClr val="accent1"/>
          </a:solidFill>
          <a:ln w="19050">
            <a:solidFill>
              <a:schemeClr val="lt1"/>
            </a:solidFill>
          </a:ln>
          <a:effectLst/>
        </c:spPr>
        <c:marker>
          <c:symbol val="none"/>
        </c:marker>
        <c:dLbl>
          <c:idx val="0"/>
          <c:numFmt formatCode="&quot;₹&quot;\ #,##0.00" sourceLinked="0"/>
          <c:spPr>
            <a:noFill/>
            <a:ln>
              <a:noFill/>
            </a:ln>
            <a:effectLst/>
          </c:spPr>
          <c:txPr>
            <a:bodyPr rot="0" spcFirstLastPara="1" vertOverflow="ellipsis" vert="horz" wrap="square" anchor="ctr" anchorCtr="1"/>
            <a:lstStyle/>
            <a:p>
              <a:pPr>
                <a:defRPr sz="900" b="0" i="0" u="none" strike="noStrike" kern="1200" baseline="0">
                  <a:ln>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quot;₹&quot;\ #,##0.00" sourceLinked="0"/>
          <c:spPr>
            <a:noFill/>
            <a:ln>
              <a:noFill/>
            </a:ln>
            <a:effectLst/>
          </c:spPr>
          <c:txPr>
            <a:bodyPr rot="0" spcFirstLastPara="1" vertOverflow="ellipsis" vert="horz" wrap="square" anchor="ctr" anchorCtr="1"/>
            <a:lstStyle/>
            <a:p>
              <a:pPr>
                <a:defRPr sz="900" b="0" i="0" u="none" strike="noStrike" kern="1200" baseline="0">
                  <a:ln>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6">
              <a:lumMod val="20000"/>
              <a:lumOff val="80000"/>
            </a:schemeClr>
          </a:solidFill>
          <a:ln w="19050">
            <a:solidFill>
              <a:schemeClr val="lt1"/>
            </a:solidFill>
          </a:ln>
          <a:effectLst/>
        </c:spPr>
        <c:marker>
          <c:symbol val="none"/>
        </c:marker>
        <c:dLbl>
          <c:idx val="0"/>
          <c:numFmt formatCode="&quot;₹&quot;\ #,##0.00" sourceLinked="0"/>
          <c:spPr>
            <a:noFill/>
            <a:ln>
              <a:noFill/>
            </a:ln>
            <a:effectLst/>
          </c:spPr>
          <c:txPr>
            <a:bodyPr rot="0" spcFirstLastPara="1" vertOverflow="ellipsis" vert="horz" wrap="square" anchor="ctr" anchorCtr="1"/>
            <a:lstStyle/>
            <a:p>
              <a:pPr>
                <a:defRPr sz="900" b="1" i="0" u="none" strike="noStrike" kern="1200" baseline="0">
                  <a:ln>
                    <a:noFill/>
                  </a:ln>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75000"/>
            </a:schemeClr>
          </a:solidFill>
          <a:ln w="19050">
            <a:solidFill>
              <a:schemeClr val="lt1"/>
            </a:solidFill>
          </a:ln>
          <a:effectLst/>
        </c:spPr>
      </c:pivotFmt>
      <c:pivotFmt>
        <c:idx val="10"/>
        <c:spPr>
          <a:solidFill>
            <a:schemeClr val="accent6">
              <a:lumMod val="20000"/>
              <a:lumOff val="80000"/>
            </a:schemeClr>
          </a:solidFill>
          <a:ln w="19050">
            <a:solidFill>
              <a:schemeClr val="lt1"/>
            </a:solidFill>
          </a:ln>
          <a:effectLst/>
        </c:spPr>
      </c:pivotFmt>
      <c:pivotFmt>
        <c:idx val="11"/>
        <c:spPr>
          <a:solidFill>
            <a:schemeClr val="accent6">
              <a:lumMod val="40000"/>
              <a:lumOff val="60000"/>
            </a:schemeClr>
          </a:solidFill>
          <a:ln w="19050">
            <a:solidFill>
              <a:schemeClr val="lt1"/>
            </a:solidFill>
          </a:ln>
          <a:effectLst/>
        </c:spPr>
        <c:dLbl>
          <c:idx val="0"/>
          <c:layout>
            <c:manualLayout>
              <c:x val="-4.8863390272832506E-2"/>
              <c:y val="1.3629621997995264E-2"/>
            </c:manualLayout>
          </c:layout>
          <c:numFmt formatCode="&quot;₹&quot;\ #,##0.00" sourceLinked="0"/>
          <c:spPr>
            <a:noFill/>
            <a:ln>
              <a:noFill/>
            </a:ln>
            <a:effectLst/>
          </c:spPr>
          <c:txPr>
            <a:bodyPr rot="0" spcFirstLastPara="1" vertOverflow="ellipsis" vert="horz" wrap="square" anchor="ctr" anchorCtr="1"/>
            <a:lstStyle/>
            <a:p>
              <a:pPr>
                <a:defRPr sz="900" b="1" i="0" u="none" strike="noStrike" kern="1200" baseline="0">
                  <a:ln>
                    <a:noFill/>
                  </a:ln>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Sheet1!$B$32</c:f>
              <c:strCache>
                <c:ptCount val="1"/>
                <c:pt idx="0">
                  <c:v>Total</c:v>
                </c:pt>
              </c:strCache>
            </c:strRef>
          </c:tx>
          <c:spPr>
            <a:solidFill>
              <a:schemeClr val="accent6">
                <a:lumMod val="20000"/>
                <a:lumOff val="80000"/>
              </a:schemeClr>
            </a:solidFill>
          </c:spPr>
          <c:explosion val="2"/>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FFCC-459D-B847-21AC29A60893}"/>
              </c:ext>
            </c:extLst>
          </c:dPt>
          <c:dPt>
            <c:idx val="1"/>
            <c:bubble3D val="0"/>
            <c:spPr>
              <a:solidFill>
                <a:schemeClr val="accent6">
                  <a:lumMod val="20000"/>
                  <a:lumOff val="80000"/>
                </a:schemeClr>
              </a:solidFill>
              <a:ln w="19050">
                <a:solidFill>
                  <a:schemeClr val="lt1"/>
                </a:solidFill>
              </a:ln>
              <a:effectLst/>
            </c:spPr>
            <c:extLst>
              <c:ext xmlns:c16="http://schemas.microsoft.com/office/drawing/2014/chart" uri="{C3380CC4-5D6E-409C-BE32-E72D297353CC}">
                <c16:uniqueId val="{00000003-FFCC-459D-B847-21AC29A60893}"/>
              </c:ext>
            </c:extLst>
          </c:dPt>
          <c:dPt>
            <c:idx val="2"/>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5-FFCC-459D-B847-21AC29A60893}"/>
              </c:ext>
            </c:extLst>
          </c:dPt>
          <c:dLbls>
            <c:dLbl>
              <c:idx val="2"/>
              <c:layout>
                <c:manualLayout>
                  <c:x val="-4.8863390272832506E-2"/>
                  <c:y val="1.36296219979952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FCC-459D-B847-21AC29A60893}"/>
                </c:ext>
              </c:extLst>
            </c:dLbl>
            <c:numFmt formatCode="&quot;₹&quot;\ #,##0.00" sourceLinked="0"/>
            <c:spPr>
              <a:noFill/>
              <a:ln>
                <a:noFill/>
              </a:ln>
              <a:effectLst/>
            </c:spPr>
            <c:txPr>
              <a:bodyPr rot="0" spcFirstLastPara="1" vertOverflow="ellipsis" vert="horz" wrap="square" anchor="ctr" anchorCtr="1"/>
              <a:lstStyle/>
              <a:p>
                <a:pPr>
                  <a:defRPr sz="900" b="1" i="0" u="none" strike="noStrike" kern="1200" baseline="0">
                    <a:ln>
                      <a:noFill/>
                    </a:ln>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Sheet1!$A$33:$A$36</c:f>
              <c:strCache>
                <c:ptCount val="3"/>
                <c:pt idx="0">
                  <c:v>Accessories</c:v>
                </c:pt>
                <c:pt idx="1">
                  <c:v>Electronics</c:v>
                </c:pt>
                <c:pt idx="2">
                  <c:v>Office</c:v>
                </c:pt>
              </c:strCache>
            </c:strRef>
          </c:cat>
          <c:val>
            <c:numRef>
              <c:f>Sheet1!$B$33:$B$36</c:f>
              <c:numCache>
                <c:formatCode>General</c:formatCode>
                <c:ptCount val="3"/>
                <c:pt idx="0">
                  <c:v>150660</c:v>
                </c:pt>
                <c:pt idx="1">
                  <c:v>132131</c:v>
                </c:pt>
                <c:pt idx="2">
                  <c:v>25732</c:v>
                </c:pt>
              </c:numCache>
            </c:numRef>
          </c:val>
          <c:extLst>
            <c:ext xmlns:c16="http://schemas.microsoft.com/office/drawing/2014/chart" uri="{C3380CC4-5D6E-409C-BE32-E72D297353CC}">
              <c16:uniqueId val="{00000006-FFCC-459D-B847-21AC29A60893}"/>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n>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 Dashboard.xlsx]Sheet1!PivotTable6</c:name>
    <c:fmtId val="3"/>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tx2">
                  <a:lumMod val="50000"/>
                  <a:lumOff val="50000"/>
                </a:schemeClr>
              </a:gs>
              <a:gs pos="100000">
                <a:schemeClr val="bg2">
                  <a:lumMod val="75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Sheet1!$B$61</c:f>
              <c:strCache>
                <c:ptCount val="1"/>
                <c:pt idx="0">
                  <c:v>Total</c:v>
                </c:pt>
              </c:strCache>
            </c:strRef>
          </c:tx>
          <c:spPr>
            <a:gradFill>
              <a:gsLst>
                <a:gs pos="0">
                  <a:schemeClr val="tx2">
                    <a:lumMod val="50000"/>
                    <a:lumOff val="50000"/>
                  </a:schemeClr>
                </a:gs>
                <a:gs pos="100000">
                  <a:schemeClr val="bg2">
                    <a:lumMod val="75000"/>
                  </a:schemeClr>
                </a:gs>
              </a:gsLst>
              <a:lin ang="5400000" scaled="1"/>
            </a:gradFill>
            <a:ln>
              <a:noFill/>
            </a:ln>
            <a:effectLst/>
          </c:spPr>
          <c:invertIfNegative val="0"/>
          <c:cat>
            <c:strRef>
              <c:f>Sheet1!$A$62:$A$77</c:f>
              <c:strCache>
                <c:ptCount val="15"/>
                <c:pt idx="0">
                  <c:v>Apple</c:v>
                </c:pt>
                <c:pt idx="1">
                  <c:v>Asus</c:v>
                </c:pt>
                <c:pt idx="2">
                  <c:v>Boat</c:v>
                </c:pt>
                <c:pt idx="3">
                  <c:v>Canon</c:v>
                </c:pt>
                <c:pt idx="4">
                  <c:v>Dell</c:v>
                </c:pt>
                <c:pt idx="5">
                  <c:v>Epson</c:v>
                </c:pt>
                <c:pt idx="6">
                  <c:v>HP</c:v>
                </c:pt>
                <c:pt idx="7">
                  <c:v>JBL</c:v>
                </c:pt>
                <c:pt idx="8">
                  <c:v>Lenovo</c:v>
                </c:pt>
                <c:pt idx="9">
                  <c:v>LG</c:v>
                </c:pt>
                <c:pt idx="10">
                  <c:v>Logitech</c:v>
                </c:pt>
                <c:pt idx="11">
                  <c:v>Nikon</c:v>
                </c:pt>
                <c:pt idx="12">
                  <c:v>OnePlus</c:v>
                </c:pt>
                <c:pt idx="13">
                  <c:v>Samsung</c:v>
                </c:pt>
                <c:pt idx="14">
                  <c:v>Sony</c:v>
                </c:pt>
              </c:strCache>
            </c:strRef>
          </c:cat>
          <c:val>
            <c:numRef>
              <c:f>Sheet1!$B$62:$B$77</c:f>
              <c:numCache>
                <c:formatCode>General</c:formatCode>
                <c:ptCount val="15"/>
                <c:pt idx="0">
                  <c:v>4177.6600000000008</c:v>
                </c:pt>
                <c:pt idx="1">
                  <c:v>3101.1800000000003</c:v>
                </c:pt>
                <c:pt idx="2">
                  <c:v>782.46</c:v>
                </c:pt>
                <c:pt idx="3">
                  <c:v>1150.68</c:v>
                </c:pt>
                <c:pt idx="4">
                  <c:v>3978.1400000000003</c:v>
                </c:pt>
                <c:pt idx="5">
                  <c:v>741.71999999999991</c:v>
                </c:pt>
                <c:pt idx="6">
                  <c:v>14236.85</c:v>
                </c:pt>
                <c:pt idx="7">
                  <c:v>4233.7699999999995</c:v>
                </c:pt>
                <c:pt idx="8">
                  <c:v>3382.84</c:v>
                </c:pt>
                <c:pt idx="9">
                  <c:v>1910.7800000000002</c:v>
                </c:pt>
                <c:pt idx="10">
                  <c:v>1580.9499999999998</c:v>
                </c:pt>
                <c:pt idx="11">
                  <c:v>2824.8399999999997</c:v>
                </c:pt>
                <c:pt idx="12">
                  <c:v>2093.21</c:v>
                </c:pt>
                <c:pt idx="13">
                  <c:v>3683.6000000000004</c:v>
                </c:pt>
                <c:pt idx="14">
                  <c:v>5457.8400000000011</c:v>
                </c:pt>
              </c:numCache>
            </c:numRef>
          </c:val>
          <c:extLst>
            <c:ext xmlns:c16="http://schemas.microsoft.com/office/drawing/2014/chart" uri="{C3380CC4-5D6E-409C-BE32-E72D297353CC}">
              <c16:uniqueId val="{00000000-1F58-4D35-955F-6130D0DA786C}"/>
            </c:ext>
          </c:extLst>
        </c:ser>
        <c:dLbls>
          <c:showLegendKey val="0"/>
          <c:showVal val="0"/>
          <c:showCatName val="0"/>
          <c:showSerName val="0"/>
          <c:showPercent val="0"/>
          <c:showBubbleSize val="0"/>
        </c:dLbls>
        <c:gapWidth val="150"/>
        <c:overlap val="100"/>
        <c:axId val="1596240352"/>
        <c:axId val="1596242272"/>
      </c:barChart>
      <c:catAx>
        <c:axId val="159624035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96242272"/>
        <c:crosses val="autoZero"/>
        <c:auto val="1"/>
        <c:lblAlgn val="ctr"/>
        <c:lblOffset val="100"/>
        <c:noMultiLvlLbl val="0"/>
      </c:catAx>
      <c:valAx>
        <c:axId val="159624227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96240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 Dashboard.xlsx]Sheet1!PivotTable7</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lumMod val="75000"/>
                </a:schemeClr>
              </a:gs>
              <a:gs pos="100000">
                <a:schemeClr val="tx2">
                  <a:lumMod val="75000"/>
                  <a:lumOff val="25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020625546806651"/>
          <c:y val="0.24939596092155147"/>
          <c:w val="0.50231671041119863"/>
          <c:h val="0.62968613298337706"/>
        </c:manualLayout>
      </c:layout>
      <c:barChart>
        <c:barDir val="bar"/>
        <c:grouping val="clustered"/>
        <c:varyColors val="0"/>
        <c:ser>
          <c:idx val="0"/>
          <c:order val="0"/>
          <c:tx>
            <c:strRef>
              <c:f>Sheet1!$L$62</c:f>
              <c:strCache>
                <c:ptCount val="1"/>
                <c:pt idx="0">
                  <c:v>Total</c:v>
                </c:pt>
              </c:strCache>
            </c:strRef>
          </c:tx>
          <c:spPr>
            <a:gradFill>
              <a:gsLst>
                <a:gs pos="0">
                  <a:schemeClr val="accent1">
                    <a:lumMod val="75000"/>
                  </a:schemeClr>
                </a:gs>
                <a:gs pos="100000">
                  <a:schemeClr val="tx2">
                    <a:lumMod val="75000"/>
                    <a:lumOff val="25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Sheet1!$K$63:$K$68</c:f>
              <c:strCache>
                <c:ptCount val="5"/>
                <c:pt idx="0">
                  <c:v>JBL</c:v>
                </c:pt>
                <c:pt idx="1">
                  <c:v>Dell</c:v>
                </c:pt>
                <c:pt idx="2">
                  <c:v>Apple</c:v>
                </c:pt>
                <c:pt idx="3">
                  <c:v>Sony</c:v>
                </c:pt>
                <c:pt idx="4">
                  <c:v>HP</c:v>
                </c:pt>
              </c:strCache>
            </c:strRef>
          </c:cat>
          <c:val>
            <c:numRef>
              <c:f>Sheet1!$L$63:$L$68</c:f>
              <c:numCache>
                <c:formatCode>General</c:formatCode>
                <c:ptCount val="5"/>
                <c:pt idx="0">
                  <c:v>25362</c:v>
                </c:pt>
                <c:pt idx="1">
                  <c:v>25804</c:v>
                </c:pt>
                <c:pt idx="2">
                  <c:v>27895</c:v>
                </c:pt>
                <c:pt idx="3">
                  <c:v>34708</c:v>
                </c:pt>
                <c:pt idx="4">
                  <c:v>73538</c:v>
                </c:pt>
              </c:numCache>
            </c:numRef>
          </c:val>
          <c:extLst>
            <c:ext xmlns:c16="http://schemas.microsoft.com/office/drawing/2014/chart" uri="{C3380CC4-5D6E-409C-BE32-E72D297353CC}">
              <c16:uniqueId val="{00000000-BA98-4714-AFA3-7D503ED714F7}"/>
            </c:ext>
          </c:extLst>
        </c:ser>
        <c:dLbls>
          <c:dLblPos val="outEnd"/>
          <c:showLegendKey val="0"/>
          <c:showVal val="1"/>
          <c:showCatName val="0"/>
          <c:showSerName val="0"/>
          <c:showPercent val="0"/>
          <c:showBubbleSize val="0"/>
        </c:dLbls>
        <c:gapWidth val="182"/>
        <c:axId val="1565339616"/>
        <c:axId val="1565337696"/>
      </c:barChart>
      <c:catAx>
        <c:axId val="156533961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65337696"/>
        <c:crosses val="autoZero"/>
        <c:auto val="1"/>
        <c:lblAlgn val="ctr"/>
        <c:lblOffset val="100"/>
        <c:noMultiLvlLbl val="0"/>
      </c:catAx>
      <c:valAx>
        <c:axId val="156533769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533961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bg1"/>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 Dashboard.xlsx]Sheet1!PivotTable3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c:f>
              <c:strCache>
                <c:ptCount val="1"/>
                <c:pt idx="0">
                  <c:v>Sum of Sales</c:v>
                </c:pt>
              </c:strCache>
            </c:strRef>
          </c:tx>
          <c:spPr>
            <a:solidFill>
              <a:schemeClr val="accent1"/>
            </a:solidFill>
            <a:ln>
              <a:noFill/>
            </a:ln>
            <a:effectLst/>
          </c:spPr>
          <c:invertIfNegative val="0"/>
          <c:cat>
            <c:strRef>
              <c:f>Sheet1!$A$2:$A$14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Sheet1!$B$2:$B$14</c:f>
              <c:numCache>
                <c:formatCode>"₹"\ #,##0.00</c:formatCode>
                <c:ptCount val="12"/>
                <c:pt idx="0">
                  <c:v>20414</c:v>
                </c:pt>
                <c:pt idx="1">
                  <c:v>23238</c:v>
                </c:pt>
                <c:pt idx="2">
                  <c:v>21052</c:v>
                </c:pt>
                <c:pt idx="3">
                  <c:v>39041</c:v>
                </c:pt>
                <c:pt idx="4">
                  <c:v>40710</c:v>
                </c:pt>
                <c:pt idx="5">
                  <c:v>22521</c:v>
                </c:pt>
                <c:pt idx="6">
                  <c:v>12413</c:v>
                </c:pt>
                <c:pt idx="7">
                  <c:v>14291</c:v>
                </c:pt>
                <c:pt idx="8">
                  <c:v>23714</c:v>
                </c:pt>
                <c:pt idx="9">
                  <c:v>17884</c:v>
                </c:pt>
                <c:pt idx="10">
                  <c:v>6157</c:v>
                </c:pt>
                <c:pt idx="11">
                  <c:v>67088</c:v>
                </c:pt>
              </c:numCache>
            </c:numRef>
          </c:val>
          <c:extLst>
            <c:ext xmlns:c16="http://schemas.microsoft.com/office/drawing/2014/chart" uri="{C3380CC4-5D6E-409C-BE32-E72D297353CC}">
              <c16:uniqueId val="{00000000-A124-438A-890A-94232D8C8ED6}"/>
            </c:ext>
          </c:extLst>
        </c:ser>
        <c:dLbls>
          <c:showLegendKey val="0"/>
          <c:showVal val="0"/>
          <c:showCatName val="0"/>
          <c:showSerName val="0"/>
          <c:showPercent val="0"/>
          <c:showBubbleSize val="0"/>
        </c:dLbls>
        <c:gapWidth val="219"/>
        <c:overlap val="-27"/>
        <c:axId val="544114544"/>
        <c:axId val="1067071040"/>
      </c:barChart>
      <c:lineChart>
        <c:grouping val="stacked"/>
        <c:varyColors val="0"/>
        <c:ser>
          <c:idx val="1"/>
          <c:order val="1"/>
          <c:tx>
            <c:strRef>
              <c:f>Sheet1!$C$1</c:f>
              <c:strCache>
                <c:ptCount val="1"/>
                <c:pt idx="0">
                  <c:v>Sum of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Sheet1!$A$2:$A$14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Sheet1!$C$2:$C$14</c:f>
              <c:numCache>
                <c:formatCode>"₹"\ #,##0.00</c:formatCode>
                <c:ptCount val="12"/>
                <c:pt idx="0">
                  <c:v>4829.76</c:v>
                </c:pt>
                <c:pt idx="1">
                  <c:v>3724.3599999999997</c:v>
                </c:pt>
                <c:pt idx="2">
                  <c:v>3249.9300000000003</c:v>
                </c:pt>
                <c:pt idx="3">
                  <c:v>6242.01</c:v>
                </c:pt>
                <c:pt idx="4">
                  <c:v>6251.68</c:v>
                </c:pt>
                <c:pt idx="5">
                  <c:v>2547.11</c:v>
                </c:pt>
                <c:pt idx="6">
                  <c:v>2451.6799999999998</c:v>
                </c:pt>
                <c:pt idx="7">
                  <c:v>2212.67</c:v>
                </c:pt>
                <c:pt idx="8">
                  <c:v>5293.8099999999995</c:v>
                </c:pt>
                <c:pt idx="9">
                  <c:v>2931.83</c:v>
                </c:pt>
                <c:pt idx="10">
                  <c:v>1404.62</c:v>
                </c:pt>
                <c:pt idx="11">
                  <c:v>12197.06</c:v>
                </c:pt>
              </c:numCache>
            </c:numRef>
          </c:val>
          <c:smooth val="0"/>
          <c:extLst>
            <c:ext xmlns:c16="http://schemas.microsoft.com/office/drawing/2014/chart" uri="{C3380CC4-5D6E-409C-BE32-E72D297353CC}">
              <c16:uniqueId val="{00000001-A124-438A-890A-94232D8C8ED6}"/>
            </c:ext>
          </c:extLst>
        </c:ser>
        <c:dLbls>
          <c:showLegendKey val="0"/>
          <c:showVal val="0"/>
          <c:showCatName val="0"/>
          <c:showSerName val="0"/>
          <c:showPercent val="0"/>
          <c:showBubbleSize val="0"/>
        </c:dLbls>
        <c:marker val="1"/>
        <c:smooth val="0"/>
        <c:axId val="544114544"/>
        <c:axId val="1067071040"/>
      </c:lineChart>
      <c:catAx>
        <c:axId val="544114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7071040"/>
        <c:crosses val="autoZero"/>
        <c:auto val="1"/>
        <c:lblAlgn val="ctr"/>
        <c:lblOffset val="100"/>
        <c:noMultiLvlLbl val="0"/>
      </c:catAx>
      <c:valAx>
        <c:axId val="106707104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4114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 Dashboard.xlsx]Sheet1!PivotTable11</c:name>
    <c:fmtId val="0"/>
  </c:pivotSource>
  <c:chart>
    <c:autoTitleDeleted val="1"/>
    <c:pivotFmts>
      <c:pivotFmt>
        <c:idx val="0"/>
        <c:spPr>
          <a:solidFill>
            <a:schemeClr val="accent1"/>
          </a:solidFill>
          <a:ln w="19050">
            <a:solidFill>
              <a:schemeClr val="lt1"/>
            </a:solidFill>
          </a:ln>
          <a:effectLst/>
        </c:spPr>
        <c:marker>
          <c:symbol val="none"/>
        </c:marker>
        <c:dLbl>
          <c:idx val="0"/>
          <c:numFmt formatCode="&quot;₹&quot;\ #,##0.00" sourceLinked="0"/>
          <c:spPr>
            <a:noFill/>
            <a:ln>
              <a:noFill/>
            </a:ln>
            <a:effectLst/>
          </c:spPr>
          <c:txPr>
            <a:bodyPr rot="0" spcFirstLastPara="1" vertOverflow="ellipsis" vert="horz" wrap="square" anchor="ctr" anchorCtr="1"/>
            <a:lstStyle/>
            <a:p>
              <a:pPr>
                <a:defRPr sz="900" b="0" i="0" u="none" strike="noStrike" kern="1200" baseline="0">
                  <a:ln>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Sheet1!$B$32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FE7-42DA-BED6-33C9B59226F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FE7-42DA-BED6-33C9B59226F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FE7-42DA-BED6-33C9B59226F0}"/>
              </c:ext>
            </c:extLst>
          </c:dPt>
          <c:dLbls>
            <c:numFmt formatCode="&quot;₹&quot;\ #,##0.00" sourceLinked="0"/>
            <c:spPr>
              <a:noFill/>
              <a:ln>
                <a:noFill/>
              </a:ln>
              <a:effectLst/>
            </c:spPr>
            <c:txPr>
              <a:bodyPr rot="0" spcFirstLastPara="1" vertOverflow="ellipsis" vert="horz" wrap="square" anchor="ctr" anchorCtr="1"/>
              <a:lstStyle/>
              <a:p>
                <a:pPr>
                  <a:defRPr sz="900" b="0" i="0" u="none" strike="noStrike" kern="1200" baseline="0">
                    <a:ln>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Sheet1!$A$33:$A$36</c:f>
              <c:strCache>
                <c:ptCount val="3"/>
                <c:pt idx="0">
                  <c:v>Accessories</c:v>
                </c:pt>
                <c:pt idx="1">
                  <c:v>Electronics</c:v>
                </c:pt>
                <c:pt idx="2">
                  <c:v>Office</c:v>
                </c:pt>
              </c:strCache>
            </c:strRef>
          </c:cat>
          <c:val>
            <c:numRef>
              <c:f>Sheet1!$B$33:$B$36</c:f>
              <c:numCache>
                <c:formatCode>General</c:formatCode>
                <c:ptCount val="3"/>
                <c:pt idx="0">
                  <c:v>150660</c:v>
                </c:pt>
                <c:pt idx="1">
                  <c:v>132131</c:v>
                </c:pt>
                <c:pt idx="2">
                  <c:v>25732</c:v>
                </c:pt>
              </c:numCache>
            </c:numRef>
          </c:val>
          <c:extLst>
            <c:ext xmlns:c16="http://schemas.microsoft.com/office/drawing/2014/chart" uri="{C3380CC4-5D6E-409C-BE32-E72D297353CC}">
              <c16:uniqueId val="{00000000-1E04-4C69-A74B-7EBC7A006C40}"/>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ln>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n>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 Dashboard.xlsx]Sheet1!PivotTable1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Sheet1!$B$46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Sheet1!$A$47:$A$51</c:f>
              <c:strCache>
                <c:ptCount val="4"/>
                <c:pt idx="0">
                  <c:v>West</c:v>
                </c:pt>
                <c:pt idx="1">
                  <c:v>North</c:v>
                </c:pt>
                <c:pt idx="2">
                  <c:v>South</c:v>
                </c:pt>
                <c:pt idx="3">
                  <c:v>East</c:v>
                </c:pt>
              </c:strCache>
            </c:strRef>
          </c:cat>
          <c:val>
            <c:numRef>
              <c:f>Sheet1!$B$47:$B$51</c:f>
              <c:numCache>
                <c:formatCode>General</c:formatCode>
                <c:ptCount val="4"/>
                <c:pt idx="0">
                  <c:v>93666</c:v>
                </c:pt>
                <c:pt idx="1">
                  <c:v>79536</c:v>
                </c:pt>
                <c:pt idx="2">
                  <c:v>76982</c:v>
                </c:pt>
                <c:pt idx="3">
                  <c:v>58339</c:v>
                </c:pt>
              </c:numCache>
            </c:numRef>
          </c:val>
          <c:extLst>
            <c:ext xmlns:c16="http://schemas.microsoft.com/office/drawing/2014/chart" uri="{C3380CC4-5D6E-409C-BE32-E72D297353CC}">
              <c16:uniqueId val="{00000000-0632-4E7D-A932-FEDBD7CEA0FC}"/>
            </c:ext>
          </c:extLst>
        </c:ser>
        <c:dLbls>
          <c:dLblPos val="outEnd"/>
          <c:showLegendKey val="0"/>
          <c:showVal val="1"/>
          <c:showCatName val="0"/>
          <c:showSerName val="0"/>
          <c:showPercent val="0"/>
          <c:showBubbleSize val="0"/>
        </c:dLbls>
        <c:gapWidth val="182"/>
        <c:axId val="1224453664"/>
        <c:axId val="1224474784"/>
      </c:barChart>
      <c:catAx>
        <c:axId val="122445366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474784"/>
        <c:crosses val="autoZero"/>
        <c:auto val="1"/>
        <c:lblAlgn val="ctr"/>
        <c:lblOffset val="100"/>
        <c:noMultiLvlLbl val="0"/>
      </c:catAx>
      <c:valAx>
        <c:axId val="122447478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453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 Dashboard.xlsx]Sheet1!PivotTable6</c:name>
    <c:fmtId val="0"/>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Sheet1!$B$61</c:f>
              <c:strCache>
                <c:ptCount val="1"/>
                <c:pt idx="0">
                  <c:v>Total</c:v>
                </c:pt>
              </c:strCache>
            </c:strRef>
          </c:tx>
          <c:spPr>
            <a:solidFill>
              <a:schemeClr val="accent1"/>
            </a:solidFill>
            <a:ln>
              <a:noFill/>
            </a:ln>
            <a:effectLst/>
            <a:sp3d/>
          </c:spPr>
          <c:invertIfNegative val="0"/>
          <c:cat>
            <c:strRef>
              <c:f>Sheet1!$A$62:$A$77</c:f>
              <c:strCache>
                <c:ptCount val="15"/>
                <c:pt idx="0">
                  <c:v>Apple</c:v>
                </c:pt>
                <c:pt idx="1">
                  <c:v>Asus</c:v>
                </c:pt>
                <c:pt idx="2">
                  <c:v>Boat</c:v>
                </c:pt>
                <c:pt idx="3">
                  <c:v>Canon</c:v>
                </c:pt>
                <c:pt idx="4">
                  <c:v>Dell</c:v>
                </c:pt>
                <c:pt idx="5">
                  <c:v>Epson</c:v>
                </c:pt>
                <c:pt idx="6">
                  <c:v>HP</c:v>
                </c:pt>
                <c:pt idx="7">
                  <c:v>JBL</c:v>
                </c:pt>
                <c:pt idx="8">
                  <c:v>Lenovo</c:v>
                </c:pt>
                <c:pt idx="9">
                  <c:v>LG</c:v>
                </c:pt>
                <c:pt idx="10">
                  <c:v>Logitech</c:v>
                </c:pt>
                <c:pt idx="11">
                  <c:v>Nikon</c:v>
                </c:pt>
                <c:pt idx="12">
                  <c:v>OnePlus</c:v>
                </c:pt>
                <c:pt idx="13">
                  <c:v>Samsung</c:v>
                </c:pt>
                <c:pt idx="14">
                  <c:v>Sony</c:v>
                </c:pt>
              </c:strCache>
            </c:strRef>
          </c:cat>
          <c:val>
            <c:numRef>
              <c:f>Sheet1!$B$62:$B$77</c:f>
              <c:numCache>
                <c:formatCode>General</c:formatCode>
                <c:ptCount val="15"/>
                <c:pt idx="0">
                  <c:v>4177.6600000000008</c:v>
                </c:pt>
                <c:pt idx="1">
                  <c:v>3101.1800000000003</c:v>
                </c:pt>
                <c:pt idx="2">
                  <c:v>782.46</c:v>
                </c:pt>
                <c:pt idx="3">
                  <c:v>1150.68</c:v>
                </c:pt>
                <c:pt idx="4">
                  <c:v>3978.1400000000003</c:v>
                </c:pt>
                <c:pt idx="5">
                  <c:v>741.71999999999991</c:v>
                </c:pt>
                <c:pt idx="6">
                  <c:v>14236.85</c:v>
                </c:pt>
                <c:pt idx="7">
                  <c:v>4233.7699999999995</c:v>
                </c:pt>
                <c:pt idx="8">
                  <c:v>3382.84</c:v>
                </c:pt>
                <c:pt idx="9">
                  <c:v>1910.7800000000002</c:v>
                </c:pt>
                <c:pt idx="10">
                  <c:v>1580.9499999999998</c:v>
                </c:pt>
                <c:pt idx="11">
                  <c:v>2824.8399999999997</c:v>
                </c:pt>
                <c:pt idx="12">
                  <c:v>2093.21</c:v>
                </c:pt>
                <c:pt idx="13">
                  <c:v>3683.6000000000004</c:v>
                </c:pt>
                <c:pt idx="14">
                  <c:v>5457.8400000000011</c:v>
                </c:pt>
              </c:numCache>
            </c:numRef>
          </c:val>
          <c:extLst>
            <c:ext xmlns:c16="http://schemas.microsoft.com/office/drawing/2014/chart" uri="{C3380CC4-5D6E-409C-BE32-E72D297353CC}">
              <c16:uniqueId val="{00000000-459C-4AA9-B0C8-1F702F382A7E}"/>
            </c:ext>
          </c:extLst>
        </c:ser>
        <c:dLbls>
          <c:showLegendKey val="0"/>
          <c:showVal val="0"/>
          <c:showCatName val="0"/>
          <c:showSerName val="0"/>
          <c:showPercent val="0"/>
          <c:showBubbleSize val="0"/>
        </c:dLbls>
        <c:gapWidth val="150"/>
        <c:shape val="box"/>
        <c:axId val="1596240352"/>
        <c:axId val="1596242272"/>
        <c:axId val="0"/>
      </c:bar3DChart>
      <c:catAx>
        <c:axId val="159624035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6242272"/>
        <c:crosses val="autoZero"/>
        <c:auto val="1"/>
        <c:lblAlgn val="ctr"/>
        <c:lblOffset val="100"/>
        <c:noMultiLvlLbl val="0"/>
      </c:catAx>
      <c:valAx>
        <c:axId val="159624227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6240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 Dashboard.xlsx]Sheet1!PivotTable7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020625546806651"/>
          <c:y val="0.24939596092155147"/>
          <c:w val="0.50231671041119863"/>
          <c:h val="0.62968613298337706"/>
        </c:manualLayout>
      </c:layout>
      <c:barChart>
        <c:barDir val="bar"/>
        <c:grouping val="clustered"/>
        <c:varyColors val="0"/>
        <c:ser>
          <c:idx val="0"/>
          <c:order val="0"/>
          <c:tx>
            <c:strRef>
              <c:f>Sheet1!$L$62</c:f>
              <c:strCache>
                <c:ptCount val="1"/>
                <c:pt idx="0">
                  <c:v>Total</c:v>
                </c:pt>
              </c:strCache>
            </c:strRef>
          </c:tx>
          <c:spPr>
            <a:solidFill>
              <a:schemeClr val="accent1"/>
            </a:solidFill>
            <a:ln>
              <a:noFill/>
            </a:ln>
            <a:effectLst/>
          </c:spPr>
          <c:invertIfNegative val="0"/>
          <c:cat>
            <c:strRef>
              <c:f>Sheet1!$K$63:$K$68</c:f>
              <c:strCache>
                <c:ptCount val="5"/>
                <c:pt idx="0">
                  <c:v>JBL</c:v>
                </c:pt>
                <c:pt idx="1">
                  <c:v>Dell</c:v>
                </c:pt>
                <c:pt idx="2">
                  <c:v>Apple</c:v>
                </c:pt>
                <c:pt idx="3">
                  <c:v>Sony</c:v>
                </c:pt>
                <c:pt idx="4">
                  <c:v>HP</c:v>
                </c:pt>
              </c:strCache>
            </c:strRef>
          </c:cat>
          <c:val>
            <c:numRef>
              <c:f>Sheet1!$L$63:$L$68</c:f>
              <c:numCache>
                <c:formatCode>General</c:formatCode>
                <c:ptCount val="5"/>
                <c:pt idx="0">
                  <c:v>25362</c:v>
                </c:pt>
                <c:pt idx="1">
                  <c:v>25804</c:v>
                </c:pt>
                <c:pt idx="2">
                  <c:v>27895</c:v>
                </c:pt>
                <c:pt idx="3">
                  <c:v>34708</c:v>
                </c:pt>
                <c:pt idx="4">
                  <c:v>73538</c:v>
                </c:pt>
              </c:numCache>
            </c:numRef>
          </c:val>
          <c:extLst>
            <c:ext xmlns:c16="http://schemas.microsoft.com/office/drawing/2014/chart" uri="{C3380CC4-5D6E-409C-BE32-E72D297353CC}">
              <c16:uniqueId val="{00000000-C3FA-4D8B-8E5D-4E15E4C156BA}"/>
            </c:ext>
          </c:extLst>
        </c:ser>
        <c:dLbls>
          <c:showLegendKey val="0"/>
          <c:showVal val="0"/>
          <c:showCatName val="0"/>
          <c:showSerName val="0"/>
          <c:showPercent val="0"/>
          <c:showBubbleSize val="0"/>
        </c:dLbls>
        <c:gapWidth val="182"/>
        <c:axId val="1565339616"/>
        <c:axId val="1565337696"/>
      </c:barChart>
      <c:catAx>
        <c:axId val="156533961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5337696"/>
        <c:crosses val="autoZero"/>
        <c:auto val="1"/>
        <c:lblAlgn val="ctr"/>
        <c:lblOffset val="100"/>
        <c:noMultiLvlLbl val="0"/>
      </c:catAx>
      <c:valAx>
        <c:axId val="156533769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533961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val">
        <cx:f>_xlchart.v1.5</cx:f>
      </cx:numDim>
    </cx:data>
  </cx:chartData>
  <cx:chart>
    <cx:plotArea>
      <cx:plotAreaRegion>
        <cx:plotSurface>
          <cx:spPr>
            <a:noFill/>
            <a:ln>
              <a:noFill/>
            </a:ln>
          </cx:spPr>
        </cx:plotSurface>
        <cx:series layoutId="waterfall" uniqueId="{1ED0C0EB-8798-42B5-B8C8-E7F281A2DE62}">
          <cx:tx>
            <cx:txData>
              <cx:f>_xlchart.v1.4</cx:f>
              <cx:v>profit</cx:v>
            </cx:txData>
          </cx:tx>
          <cx:spPr>
            <a:gradFill>
              <a:gsLst>
                <a:gs pos="0">
                  <a:schemeClr val="tx2">
                    <a:lumMod val="50000"/>
                    <a:lumOff val="50000"/>
                  </a:schemeClr>
                </a:gs>
                <a:gs pos="100000">
                  <a:schemeClr val="bg2">
                    <a:lumMod val="75000"/>
                  </a:schemeClr>
                </a:gs>
              </a:gsLst>
              <a:lin ang="5400000" scaled="1"/>
            </a:gradFill>
          </cx:spPr>
          <cx:dataLabels pos="outEnd">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Aptos Narrow" panose="02110004020202020204"/>
                </a:endParaRPr>
              </a:p>
            </cx:txPr>
            <cx:visibility seriesName="0" categoryName="0" value="1"/>
          </cx:dataLabels>
          <cx:dataId val="0"/>
          <cx:layoutPr>
            <cx:subtotals/>
          </cx:layoutPr>
        </cx:series>
      </cx:plotAreaRegion>
      <cx:axis id="0">
        <cx:catScaling gapWidth="0.5"/>
        <cx:tickLabels/>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Aptos Narrow" panose="02110004020202020204"/>
            </a:endParaRPr>
          </a:p>
        </cx:txPr>
      </cx:axis>
      <cx:axis id="1">
        <cx:valScaling/>
        <cx:tickLabels/>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Aptos Narrow" panose="02110004020202020204"/>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plotSurface>
          <cx:spPr>
            <a:noFill/>
          </cx:spPr>
        </cx:plotSurface>
        <cx:series layoutId="funnel" uniqueId="{EA6FA148-5448-4989-A041-8398B534ACDD}">
          <cx:tx>
            <cx:txData>
              <cx:f>_xlchart.v2.1</cx:f>
              <cx:v>sales</cx:v>
            </cx:txData>
          </cx:tx>
          <cx:spPr>
            <a:gradFill>
              <a:gsLst>
                <a:gs pos="0">
                  <a:schemeClr val="accent4">
                    <a:lumMod val="40000"/>
                    <a:lumOff val="60000"/>
                  </a:schemeClr>
                </a:gs>
                <a:gs pos="100000">
                  <a:schemeClr val="accent5">
                    <a:lumMod val="20000"/>
                    <a:lumOff val="80000"/>
                  </a:schemeClr>
                </a:gs>
              </a:gsLst>
              <a:lin ang="5400000" scaled="1"/>
            </a:gradFill>
            <a:ln>
              <a:noFill/>
            </a:ln>
          </cx:spPr>
          <cx:dataLabels>
            <cx:spPr>
              <a:noFill/>
              <a:ln>
                <a:noFill/>
              </a:ln>
            </cx:spPr>
            <cx:visibility seriesName="0" categoryName="0" value="1"/>
          </cx:dataLabels>
          <cx:dataId val="0"/>
        </cx:series>
      </cx:plotAreaRegion>
      <cx:axis id="0">
        <cx:catScaling gapWidth="0.150000006"/>
        <cx:tickLabels/>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Aptos Narrow" panose="02110004020202020204"/>
            </a:endParaRPr>
          </a:p>
        </cx:txPr>
      </cx:axis>
    </cx:plotArea>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_xlchart.v1.9</cx:f>
      </cx:strDim>
      <cx:numDim type="val">
        <cx:f>_xlchart.v1.11</cx:f>
      </cx:numDim>
    </cx:data>
  </cx:chartData>
  <cx:chart>
    <cx:title pos="t" align="ctr" overlay="0"/>
    <cx:plotArea>
      <cx:plotAreaRegion>
        <cx:series layoutId="waterfall" uniqueId="{1ED0C0EB-8798-42B5-B8C8-E7F281A2DE62}">
          <cx:tx>
            <cx:txData>
              <cx:f>_xlchart.v1.10</cx:f>
              <cx:v>profit</cx:v>
            </cx:txData>
          </cx:tx>
          <cx:dataLabels pos="outEnd">
            <cx:visibility seriesName="0" categoryName="0" value="1"/>
          </cx:dataLabels>
          <cx:dataId val="0"/>
          <cx:layoutPr>
            <cx:subtotals/>
          </cx:layoutPr>
        </cx:series>
      </cx:plotAreaRegion>
      <cx:axis id="0">
        <cx:catScaling gapWidth="0.5"/>
        <cx:tickLabels/>
      </cx:axis>
      <cx:axis id="1">
        <cx:valScaling/>
        <cx:majorGridlines/>
        <cx:tickLabels/>
      </cx:axis>
    </cx:plotArea>
    <cx:legend pos="t" align="ctr" overlay="0"/>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_xlchart.v2.8</cx:f>
      </cx:numDim>
    </cx:data>
  </cx:chartData>
  <cx:chart>
    <cx:plotArea>
      <cx:plotAreaRegion>
        <cx:series layoutId="funnel" uniqueId="{EA6FA148-5448-4989-A041-8398B534ACDD}">
          <cx:tx>
            <cx:txData>
              <cx:f>_xlchart.v2.7</cx:f>
              <cx:v>sales</cx:v>
            </cx:txData>
          </cx:tx>
          <cx:dataLabels>
            <cx:visibility seriesName="0" categoryName="0"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24">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1.xml"/><Relationship Id="rId3" Type="http://schemas.openxmlformats.org/officeDocument/2006/relationships/image" Target="../media/image3.emf"/><Relationship Id="rId7" Type="http://schemas.openxmlformats.org/officeDocument/2006/relationships/image" Target="../media/image5.emf"/><Relationship Id="rId12" Type="http://schemas.microsoft.com/office/2014/relationships/chartEx" Target="../charts/chartEx2.xml"/><Relationship Id="rId2" Type="http://schemas.openxmlformats.org/officeDocument/2006/relationships/image" Target="../media/image2.png"/><Relationship Id="rId16" Type="http://schemas.openxmlformats.org/officeDocument/2006/relationships/image" Target="../media/image7.svg"/><Relationship Id="rId1" Type="http://schemas.openxmlformats.org/officeDocument/2006/relationships/chart" Target="../charts/chart5.xml"/><Relationship Id="rId6" Type="http://schemas.openxmlformats.org/officeDocument/2006/relationships/chart" Target="../charts/chart7.xml"/><Relationship Id="rId11" Type="http://schemas.openxmlformats.org/officeDocument/2006/relationships/chart" Target="../charts/chart10.xml"/><Relationship Id="rId5" Type="http://schemas.openxmlformats.org/officeDocument/2006/relationships/image" Target="../media/image4.emf"/><Relationship Id="rId15" Type="http://schemas.openxmlformats.org/officeDocument/2006/relationships/image" Target="../media/image6.png"/><Relationship Id="rId10" Type="http://schemas.microsoft.com/office/2014/relationships/chartEx" Target="../charts/chartEx1.xml"/><Relationship Id="rId4" Type="http://schemas.openxmlformats.org/officeDocument/2006/relationships/chart" Target="../charts/chart6.xml"/><Relationship Id="rId9" Type="http://schemas.openxmlformats.org/officeDocument/2006/relationships/chart" Target="../charts/chart9.xml"/><Relationship Id="rId14" Type="http://schemas.openxmlformats.org/officeDocument/2006/relationships/chart" Target="../charts/chart1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4.xml"/><Relationship Id="rId7" Type="http://schemas.microsoft.com/office/2014/relationships/chartEx" Target="../charts/chartEx4.xml"/><Relationship Id="rId2" Type="http://schemas.microsoft.com/office/2014/relationships/chartEx" Target="../charts/chartEx3.xml"/><Relationship Id="rId1" Type="http://schemas.openxmlformats.org/officeDocument/2006/relationships/chart" Target="../charts/chart13.xml"/><Relationship Id="rId6" Type="http://schemas.openxmlformats.org/officeDocument/2006/relationships/chart" Target="../charts/chart17.xml"/><Relationship Id="rId5" Type="http://schemas.openxmlformats.org/officeDocument/2006/relationships/chart" Target="../charts/chart16.xml"/><Relationship Id="rId4" Type="http://schemas.openxmlformats.org/officeDocument/2006/relationships/chart" Target="../charts/chart15.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9.emf"/><Relationship Id="rId1" Type="http://schemas.openxmlformats.org/officeDocument/2006/relationships/image" Target="../media/image8.emf"/></Relationships>
</file>

<file path=xl/drawings/drawing1.xml><?xml version="1.0" encoding="utf-8"?>
<xdr:wsDr xmlns:xdr="http://schemas.openxmlformats.org/drawingml/2006/spreadsheetDrawing" xmlns:a="http://schemas.openxmlformats.org/drawingml/2006/main">
  <xdr:twoCellAnchor>
    <xdr:from>
      <xdr:col>0</xdr:col>
      <xdr:colOff>106680</xdr:colOff>
      <xdr:row>16</xdr:row>
      <xdr:rowOff>163830</xdr:rowOff>
    </xdr:from>
    <xdr:to>
      <xdr:col>2</xdr:col>
      <xdr:colOff>60960</xdr:colOff>
      <xdr:row>20</xdr:row>
      <xdr:rowOff>152400</xdr:rowOff>
    </xdr:to>
    <xdr:graphicFrame macro="">
      <xdr:nvGraphicFramePr>
        <xdr:cNvPr id="2" name="Chart 1">
          <a:extLst>
            <a:ext uri="{FF2B5EF4-FFF2-40B4-BE49-F238E27FC236}">
              <a16:creationId xmlns:a16="http://schemas.microsoft.com/office/drawing/2014/main" id="{6E28DC46-BC77-9735-A845-1ECC909E5E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533400</xdr:colOff>
      <xdr:row>17</xdr:row>
      <xdr:rowOff>38100</xdr:rowOff>
    </xdr:from>
    <xdr:to>
      <xdr:col>5</xdr:col>
      <xdr:colOff>76200</xdr:colOff>
      <xdr:row>21</xdr:row>
      <xdr:rowOff>106680</xdr:rowOff>
    </xdr:to>
    <xdr:graphicFrame macro="">
      <xdr:nvGraphicFramePr>
        <xdr:cNvPr id="3" name="Chart 2">
          <a:extLst>
            <a:ext uri="{FF2B5EF4-FFF2-40B4-BE49-F238E27FC236}">
              <a16:creationId xmlns:a16="http://schemas.microsoft.com/office/drawing/2014/main" id="{169895F4-BEAE-2B46-6928-428BEC9C9A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106680</xdr:colOff>
      <xdr:row>17</xdr:row>
      <xdr:rowOff>53340</xdr:rowOff>
    </xdr:from>
    <xdr:to>
      <xdr:col>7</xdr:col>
      <xdr:colOff>822960</xdr:colOff>
      <xdr:row>21</xdr:row>
      <xdr:rowOff>121920</xdr:rowOff>
    </xdr:to>
    <xdr:graphicFrame macro="">
      <xdr:nvGraphicFramePr>
        <xdr:cNvPr id="4" name="Chart 3">
          <a:extLst>
            <a:ext uri="{FF2B5EF4-FFF2-40B4-BE49-F238E27FC236}">
              <a16:creationId xmlns:a16="http://schemas.microsoft.com/office/drawing/2014/main" id="{CDCFB1C8-5D07-E4D8-565B-ECAA1501D5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297180</xdr:colOff>
      <xdr:row>17</xdr:row>
      <xdr:rowOff>129540</xdr:rowOff>
    </xdr:from>
    <xdr:to>
      <xdr:col>10</xdr:col>
      <xdr:colOff>914400</xdr:colOff>
      <xdr:row>22</xdr:row>
      <xdr:rowOff>7620</xdr:rowOff>
    </xdr:to>
    <xdr:graphicFrame macro="">
      <xdr:nvGraphicFramePr>
        <xdr:cNvPr id="5" name="Chart 4">
          <a:extLst>
            <a:ext uri="{FF2B5EF4-FFF2-40B4-BE49-F238E27FC236}">
              <a16:creationId xmlns:a16="http://schemas.microsoft.com/office/drawing/2014/main" id="{D7B1ED79-0A2E-BAC6-4BED-3F8F845FB5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60960</xdr:colOff>
      <xdr:row>21</xdr:row>
      <xdr:rowOff>91440</xdr:rowOff>
    </xdr:from>
    <xdr:to>
      <xdr:col>1</xdr:col>
      <xdr:colOff>754380</xdr:colOff>
      <xdr:row>25</xdr:row>
      <xdr:rowOff>114300</xdr:rowOff>
    </xdr:to>
    <xdr:sp macro="" textlink="$B$15">
      <xdr:nvSpPr>
        <xdr:cNvPr id="7" name="Rectangle: Rounded Corners 6">
          <a:extLst>
            <a:ext uri="{FF2B5EF4-FFF2-40B4-BE49-F238E27FC236}">
              <a16:creationId xmlns:a16="http://schemas.microsoft.com/office/drawing/2014/main" id="{60A19942-71BC-0D9A-4501-34B95A35EB77}"/>
            </a:ext>
          </a:extLst>
        </xdr:cNvPr>
        <xdr:cNvSpPr/>
      </xdr:nvSpPr>
      <xdr:spPr>
        <a:xfrm>
          <a:off x="60960" y="3931920"/>
          <a:ext cx="1546860" cy="754380"/>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EF55504-651A-4680-9AED-4547CD67158E}" type="TxLink">
            <a:rPr lang="en-US" sz="1100" b="0" i="0" u="none" strike="noStrike">
              <a:solidFill>
                <a:srgbClr val="000000"/>
              </a:solidFill>
              <a:latin typeface="Aptos Narrow"/>
            </a:rPr>
            <a:pPr algn="ctr"/>
            <a:t>₹ 3,08,523.00</a:t>
          </a:fld>
          <a:endParaRPr lang="en-IN" sz="1100"/>
        </a:p>
      </xdr:txBody>
    </xdr:sp>
    <xdr:clientData/>
  </xdr:twoCellAnchor>
  <xdr:twoCellAnchor>
    <xdr:from>
      <xdr:col>3</xdr:col>
      <xdr:colOff>182880</xdr:colOff>
      <xdr:row>22</xdr:row>
      <xdr:rowOff>83820</xdr:rowOff>
    </xdr:from>
    <xdr:to>
      <xdr:col>4</xdr:col>
      <xdr:colOff>624840</xdr:colOff>
      <xdr:row>25</xdr:row>
      <xdr:rowOff>167640</xdr:rowOff>
    </xdr:to>
    <xdr:sp macro="" textlink="$E$15">
      <xdr:nvSpPr>
        <xdr:cNvPr id="8" name="Rectangle: Rounded Corners 7">
          <a:extLst>
            <a:ext uri="{FF2B5EF4-FFF2-40B4-BE49-F238E27FC236}">
              <a16:creationId xmlns:a16="http://schemas.microsoft.com/office/drawing/2014/main" id="{83CFF828-FEC0-C924-B229-E2730C146344}"/>
            </a:ext>
          </a:extLst>
        </xdr:cNvPr>
        <xdr:cNvSpPr/>
      </xdr:nvSpPr>
      <xdr:spPr>
        <a:xfrm>
          <a:off x="2438400" y="4107180"/>
          <a:ext cx="1295400" cy="632460"/>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AC3C9091-D949-40C0-9110-065624F7EA39}" type="TxLink">
            <a:rPr lang="en-US" sz="1100" b="0" i="0" u="none" strike="noStrike">
              <a:solidFill>
                <a:srgbClr val="000000"/>
              </a:solidFill>
              <a:latin typeface="Aptos Narrow"/>
            </a:rPr>
            <a:pPr algn="l"/>
            <a:t>₹ 53,336.52</a:t>
          </a:fld>
          <a:endParaRPr lang="en-IN" sz="1100"/>
        </a:p>
      </xdr:txBody>
    </xdr:sp>
    <xdr:clientData/>
  </xdr:twoCellAnchor>
  <xdr:twoCellAnchor>
    <xdr:from>
      <xdr:col>6</xdr:col>
      <xdr:colOff>228600</xdr:colOff>
      <xdr:row>22</xdr:row>
      <xdr:rowOff>167640</xdr:rowOff>
    </xdr:from>
    <xdr:to>
      <xdr:col>7</xdr:col>
      <xdr:colOff>762000</xdr:colOff>
      <xdr:row>25</xdr:row>
      <xdr:rowOff>167640</xdr:rowOff>
    </xdr:to>
    <xdr:sp macro="" textlink="$H$15">
      <xdr:nvSpPr>
        <xdr:cNvPr id="9" name="Rectangle: Rounded Corners 8">
          <a:extLst>
            <a:ext uri="{FF2B5EF4-FFF2-40B4-BE49-F238E27FC236}">
              <a16:creationId xmlns:a16="http://schemas.microsoft.com/office/drawing/2014/main" id="{0128096E-DFB0-9E59-4820-58A083E6EBF8}"/>
            </a:ext>
          </a:extLst>
        </xdr:cNvPr>
        <xdr:cNvSpPr/>
      </xdr:nvSpPr>
      <xdr:spPr>
        <a:xfrm>
          <a:off x="4922520" y="4191000"/>
          <a:ext cx="1386840" cy="548640"/>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2066032C-DC04-4E8B-AE2C-F46C38F7B92E}" type="TxLink">
            <a:rPr lang="en-US" sz="1100" b="0" i="0" u="none" strike="noStrike">
              <a:solidFill>
                <a:srgbClr val="000000"/>
              </a:solidFill>
              <a:latin typeface="Aptos Narrow"/>
            </a:rPr>
            <a:pPr algn="l"/>
            <a:t># 472</a:t>
          </a:fld>
          <a:endParaRPr lang="en-IN" sz="1100"/>
        </a:p>
      </xdr:txBody>
    </xdr:sp>
    <xdr:clientData/>
  </xdr:twoCellAnchor>
  <xdr:twoCellAnchor>
    <xdr:from>
      <xdr:col>9</xdr:col>
      <xdr:colOff>281940</xdr:colOff>
      <xdr:row>22</xdr:row>
      <xdr:rowOff>175260</xdr:rowOff>
    </xdr:from>
    <xdr:to>
      <xdr:col>10</xdr:col>
      <xdr:colOff>868680</xdr:colOff>
      <xdr:row>26</xdr:row>
      <xdr:rowOff>99060</xdr:rowOff>
    </xdr:to>
    <xdr:sp macro="" textlink="$K$15">
      <xdr:nvSpPr>
        <xdr:cNvPr id="10" name="Rectangle: Rounded Corners 9">
          <a:extLst>
            <a:ext uri="{FF2B5EF4-FFF2-40B4-BE49-F238E27FC236}">
              <a16:creationId xmlns:a16="http://schemas.microsoft.com/office/drawing/2014/main" id="{531B7BEE-56E6-4200-D59E-61DDFFAC6875}"/>
            </a:ext>
          </a:extLst>
        </xdr:cNvPr>
        <xdr:cNvSpPr/>
      </xdr:nvSpPr>
      <xdr:spPr>
        <a:xfrm>
          <a:off x="7658100" y="4198620"/>
          <a:ext cx="1440180" cy="655320"/>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3809E32A-48BD-47FC-9222-0F6830C3535E}" type="TxLink">
            <a:rPr lang="en-US" sz="1100" b="0" i="0" u="none" strike="noStrike">
              <a:solidFill>
                <a:srgbClr val="000000"/>
              </a:solidFill>
              <a:latin typeface="Aptos Narrow"/>
            </a:rPr>
            <a:pPr algn="l"/>
            <a:t>17.29%</a:t>
          </a:fld>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190500</xdr:colOff>
      <xdr:row>0</xdr:row>
      <xdr:rowOff>91109</xdr:rowOff>
    </xdr:from>
    <xdr:to>
      <xdr:col>25</xdr:col>
      <xdr:colOff>331304</xdr:colOff>
      <xdr:row>3</xdr:row>
      <xdr:rowOff>57979</xdr:rowOff>
    </xdr:to>
    <xdr:sp macro="" textlink="">
      <xdr:nvSpPr>
        <xdr:cNvPr id="2" name="Rectangle: Rounded Corners 1">
          <a:extLst>
            <a:ext uri="{FF2B5EF4-FFF2-40B4-BE49-F238E27FC236}">
              <a16:creationId xmlns:a16="http://schemas.microsoft.com/office/drawing/2014/main" id="{1B581603-DF5C-622D-526C-ADDD7CDABDFF}"/>
            </a:ext>
          </a:extLst>
        </xdr:cNvPr>
        <xdr:cNvSpPr/>
      </xdr:nvSpPr>
      <xdr:spPr>
        <a:xfrm>
          <a:off x="190500" y="91109"/>
          <a:ext cx="15463630" cy="513522"/>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latin typeface="+mj-lt"/>
            </a:rPr>
            <a:t>ECOMMERCE SALES &amp; PROFIT ANALYASIS DASHBOARD</a:t>
          </a:r>
        </a:p>
      </xdr:txBody>
    </xdr:sp>
    <xdr:clientData/>
  </xdr:twoCellAnchor>
  <xdr:twoCellAnchor>
    <xdr:from>
      <xdr:col>8</xdr:col>
      <xdr:colOff>222983</xdr:colOff>
      <xdr:row>3</xdr:row>
      <xdr:rowOff>82827</xdr:rowOff>
    </xdr:from>
    <xdr:to>
      <xdr:col>12</xdr:col>
      <xdr:colOff>364434</xdr:colOff>
      <xdr:row>12</xdr:row>
      <xdr:rowOff>8283</xdr:rowOff>
    </xdr:to>
    <xdr:grpSp>
      <xdr:nvGrpSpPr>
        <xdr:cNvPr id="16" name="Group 15">
          <a:extLst>
            <a:ext uri="{FF2B5EF4-FFF2-40B4-BE49-F238E27FC236}">
              <a16:creationId xmlns:a16="http://schemas.microsoft.com/office/drawing/2014/main" id="{77CD38E3-C763-207B-954B-633FEEB98B9E}"/>
            </a:ext>
          </a:extLst>
        </xdr:cNvPr>
        <xdr:cNvGrpSpPr/>
      </xdr:nvGrpSpPr>
      <xdr:grpSpPr>
        <a:xfrm>
          <a:off x="5099783" y="625752"/>
          <a:ext cx="2579851" cy="1554231"/>
          <a:chOff x="1952088" y="728870"/>
          <a:chExt cx="2220385" cy="1565413"/>
        </a:xfrm>
      </xdr:grpSpPr>
      <xdr:sp macro="" textlink="">
        <xdr:nvSpPr>
          <xdr:cNvPr id="4" name="Rectangle: Rounded Corners 3">
            <a:extLst>
              <a:ext uri="{FF2B5EF4-FFF2-40B4-BE49-F238E27FC236}">
                <a16:creationId xmlns:a16="http://schemas.microsoft.com/office/drawing/2014/main" id="{84A083C4-D128-4A81-6521-8C23C477F367}"/>
              </a:ext>
            </a:extLst>
          </xdr:cNvPr>
          <xdr:cNvSpPr/>
        </xdr:nvSpPr>
        <xdr:spPr>
          <a:xfrm>
            <a:off x="1953713" y="1101588"/>
            <a:ext cx="2211458" cy="1167847"/>
          </a:xfrm>
          <a:prstGeom prst="roundRect">
            <a:avLst/>
          </a:prstGeom>
          <a:gradFill>
            <a:gsLst>
              <a:gs pos="0">
                <a:schemeClr val="tx1">
                  <a:lumMod val="85000"/>
                  <a:lumOff val="15000"/>
                  <a:alpha val="80000"/>
                </a:schemeClr>
              </a:gs>
              <a:gs pos="100000">
                <a:schemeClr val="tx1">
                  <a:lumMod val="50000"/>
                  <a:lumOff val="50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Sheet2!B15">
        <xdr:nvSpPr>
          <xdr:cNvPr id="5" name="Rectangle: Rounded Corners 4">
            <a:extLst>
              <a:ext uri="{FF2B5EF4-FFF2-40B4-BE49-F238E27FC236}">
                <a16:creationId xmlns:a16="http://schemas.microsoft.com/office/drawing/2014/main" id="{FD4595AD-4526-C225-E23E-7CC6A4AE19FE}"/>
              </a:ext>
            </a:extLst>
          </xdr:cNvPr>
          <xdr:cNvSpPr/>
        </xdr:nvSpPr>
        <xdr:spPr>
          <a:xfrm>
            <a:off x="2318231" y="1167846"/>
            <a:ext cx="1293888" cy="356154"/>
          </a:xfrm>
          <a:prstGeom prst="roundRect">
            <a:avLst/>
          </a:prstGeom>
          <a:gradFill>
            <a:gsLst>
              <a:gs pos="0">
                <a:schemeClr val="tx1">
                  <a:lumMod val="85000"/>
                  <a:lumOff val="15000"/>
                  <a:alpha val="80000"/>
                </a:schemeClr>
              </a:gs>
              <a:gs pos="100000">
                <a:schemeClr val="tx1">
                  <a:lumMod val="50000"/>
                  <a:lumOff val="50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9625A7C-F146-4792-865A-CFF7FF71B982}" type="TxLink">
              <a:rPr lang="en-US" sz="1200" b="0" i="0" u="none" strike="noStrike">
                <a:solidFill>
                  <a:schemeClr val="bg1"/>
                </a:solidFill>
                <a:latin typeface="Aptos Narrow"/>
              </a:rPr>
              <a:pPr algn="ctr"/>
              <a:t>₹ 3,08,523.00</a:t>
            </a:fld>
            <a:endParaRPr lang="en-IN" sz="1200">
              <a:solidFill>
                <a:schemeClr val="bg1"/>
              </a:solidFill>
            </a:endParaRPr>
          </a:p>
        </xdr:txBody>
      </xdr:sp>
      <xdr:sp macro="" textlink="">
        <xdr:nvSpPr>
          <xdr:cNvPr id="8" name="Rectangle: Rounded Corners 7">
            <a:extLst>
              <a:ext uri="{FF2B5EF4-FFF2-40B4-BE49-F238E27FC236}">
                <a16:creationId xmlns:a16="http://schemas.microsoft.com/office/drawing/2014/main" id="{121FAD8B-8F3A-AB40-D7A4-ACD39B388101}"/>
              </a:ext>
            </a:extLst>
          </xdr:cNvPr>
          <xdr:cNvSpPr/>
        </xdr:nvSpPr>
        <xdr:spPr>
          <a:xfrm>
            <a:off x="2178327" y="1987826"/>
            <a:ext cx="1664804" cy="306457"/>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YOY GROWTH</a:t>
            </a:r>
            <a:r>
              <a:rPr lang="en-IN" sz="1100" baseline="0"/>
              <a:t> </a:t>
            </a:r>
          </a:p>
        </xdr:txBody>
      </xdr:sp>
      <xdr:sp macro="" textlink="">
        <xdr:nvSpPr>
          <xdr:cNvPr id="9" name="Rectangle: Rounded Corners 8">
            <a:extLst>
              <a:ext uri="{FF2B5EF4-FFF2-40B4-BE49-F238E27FC236}">
                <a16:creationId xmlns:a16="http://schemas.microsoft.com/office/drawing/2014/main" id="{C4BC5B79-8A15-43AC-CC12-E4123AB35D6E}"/>
              </a:ext>
            </a:extLst>
          </xdr:cNvPr>
          <xdr:cNvSpPr/>
        </xdr:nvSpPr>
        <xdr:spPr>
          <a:xfrm>
            <a:off x="1952088" y="728870"/>
            <a:ext cx="2220385" cy="396000"/>
          </a:xfrm>
          <a:prstGeom prst="roundRect">
            <a:avLst/>
          </a:prstGeom>
          <a:gradFill>
            <a:gsLst>
              <a:gs pos="0">
                <a:schemeClr val="tx1">
                  <a:lumMod val="85000"/>
                  <a:lumOff val="15000"/>
                  <a:alpha val="80000"/>
                </a:schemeClr>
              </a:gs>
              <a:gs pos="100000">
                <a:schemeClr val="tx1">
                  <a:lumMod val="50000"/>
                  <a:lumOff val="50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t>SALES</a:t>
            </a:r>
          </a:p>
        </xdr:txBody>
      </xdr:sp>
    </xdr:grpSp>
    <xdr:clientData/>
  </xdr:twoCellAnchor>
  <xdr:twoCellAnchor>
    <xdr:from>
      <xdr:col>17</xdr:col>
      <xdr:colOff>99391</xdr:colOff>
      <xdr:row>3</xdr:row>
      <xdr:rowOff>74546</xdr:rowOff>
    </xdr:from>
    <xdr:to>
      <xdr:col>21</xdr:col>
      <xdr:colOff>82825</xdr:colOff>
      <xdr:row>11</xdr:row>
      <xdr:rowOff>173937</xdr:rowOff>
    </xdr:to>
    <xdr:grpSp>
      <xdr:nvGrpSpPr>
        <xdr:cNvPr id="22" name="Group 21">
          <a:extLst>
            <a:ext uri="{FF2B5EF4-FFF2-40B4-BE49-F238E27FC236}">
              <a16:creationId xmlns:a16="http://schemas.microsoft.com/office/drawing/2014/main" id="{327507EE-52DC-BA97-D35F-32D2AAFBC12F}"/>
            </a:ext>
          </a:extLst>
        </xdr:cNvPr>
        <xdr:cNvGrpSpPr/>
      </xdr:nvGrpSpPr>
      <xdr:grpSpPr>
        <a:xfrm>
          <a:off x="10462591" y="617471"/>
          <a:ext cx="2421834" cy="1547191"/>
          <a:chOff x="1937485" y="737153"/>
          <a:chExt cx="2080228" cy="1557130"/>
        </a:xfrm>
      </xdr:grpSpPr>
      <xdr:sp macro="" textlink="">
        <xdr:nvSpPr>
          <xdr:cNvPr id="23" name="Rectangle: Rounded Corners 22">
            <a:extLst>
              <a:ext uri="{FF2B5EF4-FFF2-40B4-BE49-F238E27FC236}">
                <a16:creationId xmlns:a16="http://schemas.microsoft.com/office/drawing/2014/main" id="{EFBE3041-FA74-7EA7-04C8-9352AA901B06}"/>
              </a:ext>
            </a:extLst>
          </xdr:cNvPr>
          <xdr:cNvSpPr/>
        </xdr:nvSpPr>
        <xdr:spPr>
          <a:xfrm>
            <a:off x="1953488" y="1126434"/>
            <a:ext cx="2062372" cy="1151282"/>
          </a:xfrm>
          <a:prstGeom prst="roundRect">
            <a:avLst/>
          </a:prstGeom>
          <a:gradFill>
            <a:gsLst>
              <a:gs pos="0">
                <a:schemeClr val="tx1">
                  <a:lumMod val="85000"/>
                  <a:lumOff val="15000"/>
                  <a:alpha val="80000"/>
                </a:schemeClr>
              </a:gs>
              <a:gs pos="100000">
                <a:schemeClr val="tx1">
                  <a:lumMod val="50000"/>
                  <a:lumOff val="50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Sheet2!$H$15">
        <xdr:nvSpPr>
          <xdr:cNvPr id="24" name="Rectangle: Rounded Corners 23">
            <a:extLst>
              <a:ext uri="{FF2B5EF4-FFF2-40B4-BE49-F238E27FC236}">
                <a16:creationId xmlns:a16="http://schemas.microsoft.com/office/drawing/2014/main" id="{04783C93-CE8B-BF33-4CE7-67DA9A93EE7A}"/>
              </a:ext>
            </a:extLst>
          </xdr:cNvPr>
          <xdr:cNvSpPr/>
        </xdr:nvSpPr>
        <xdr:spPr>
          <a:xfrm>
            <a:off x="2282853" y="1167846"/>
            <a:ext cx="1293888" cy="356154"/>
          </a:xfrm>
          <a:prstGeom prst="roundRect">
            <a:avLst/>
          </a:prstGeom>
          <a:gradFill>
            <a:gsLst>
              <a:gs pos="0">
                <a:schemeClr val="tx1">
                  <a:lumMod val="85000"/>
                  <a:lumOff val="15000"/>
                  <a:alpha val="80000"/>
                </a:schemeClr>
              </a:gs>
              <a:gs pos="100000">
                <a:schemeClr val="tx1">
                  <a:lumMod val="50000"/>
                  <a:lumOff val="50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6FF1E79-5FA7-4A17-B567-912036CCDFC1}" type="TxLink">
              <a:rPr lang="en-US" sz="1100" b="0" i="0" u="none" strike="noStrike">
                <a:solidFill>
                  <a:schemeClr val="bg1"/>
                </a:solidFill>
                <a:latin typeface="Aptos Narrow"/>
              </a:rPr>
              <a:pPr algn="ctr"/>
              <a:t># 472</a:t>
            </a:fld>
            <a:endParaRPr lang="en-IN" sz="1200">
              <a:solidFill>
                <a:schemeClr val="bg1"/>
              </a:solidFill>
            </a:endParaRPr>
          </a:p>
        </xdr:txBody>
      </xdr:sp>
      <xdr:sp macro="" textlink="">
        <xdr:nvSpPr>
          <xdr:cNvPr id="25" name="Rectangle: Rounded Corners 24">
            <a:extLst>
              <a:ext uri="{FF2B5EF4-FFF2-40B4-BE49-F238E27FC236}">
                <a16:creationId xmlns:a16="http://schemas.microsoft.com/office/drawing/2014/main" id="{C28D0820-9F9E-0BD9-BCEA-04B39AEAA7A0}"/>
              </a:ext>
            </a:extLst>
          </xdr:cNvPr>
          <xdr:cNvSpPr/>
        </xdr:nvSpPr>
        <xdr:spPr>
          <a:xfrm>
            <a:off x="2178327" y="1987826"/>
            <a:ext cx="1664804" cy="306457"/>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YOY GROWTH</a:t>
            </a:r>
            <a:r>
              <a:rPr lang="en-IN" sz="1100" baseline="0"/>
              <a:t> </a:t>
            </a:r>
          </a:p>
        </xdr:txBody>
      </xdr:sp>
      <xdr:sp macro="" textlink="">
        <xdr:nvSpPr>
          <xdr:cNvPr id="26" name="Rectangle: Rounded Corners 25">
            <a:extLst>
              <a:ext uri="{FF2B5EF4-FFF2-40B4-BE49-F238E27FC236}">
                <a16:creationId xmlns:a16="http://schemas.microsoft.com/office/drawing/2014/main" id="{189396AE-E004-7D75-3029-46E735F39240}"/>
              </a:ext>
            </a:extLst>
          </xdr:cNvPr>
          <xdr:cNvSpPr/>
        </xdr:nvSpPr>
        <xdr:spPr>
          <a:xfrm>
            <a:off x="1937485" y="737153"/>
            <a:ext cx="2080228" cy="396000"/>
          </a:xfrm>
          <a:prstGeom prst="roundRect">
            <a:avLst/>
          </a:prstGeom>
          <a:gradFill>
            <a:gsLst>
              <a:gs pos="0">
                <a:schemeClr val="tx1">
                  <a:lumMod val="85000"/>
                  <a:lumOff val="15000"/>
                  <a:alpha val="80000"/>
                </a:schemeClr>
              </a:gs>
              <a:gs pos="100000">
                <a:schemeClr val="tx1">
                  <a:lumMod val="50000"/>
                  <a:lumOff val="50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t>QUANTITY</a:t>
            </a:r>
          </a:p>
        </xdr:txBody>
      </xdr:sp>
    </xdr:grpSp>
    <xdr:clientData/>
  </xdr:twoCellAnchor>
  <xdr:twoCellAnchor>
    <xdr:from>
      <xdr:col>12</xdr:col>
      <xdr:colOff>429454</xdr:colOff>
      <xdr:row>3</xdr:row>
      <xdr:rowOff>113886</xdr:rowOff>
    </xdr:from>
    <xdr:to>
      <xdr:col>16</xdr:col>
      <xdr:colOff>553693</xdr:colOff>
      <xdr:row>12</xdr:row>
      <xdr:rowOff>55907</xdr:rowOff>
    </xdr:to>
    <xdr:grpSp>
      <xdr:nvGrpSpPr>
        <xdr:cNvPr id="43" name="Group 42">
          <a:extLst>
            <a:ext uri="{FF2B5EF4-FFF2-40B4-BE49-F238E27FC236}">
              <a16:creationId xmlns:a16="http://schemas.microsoft.com/office/drawing/2014/main" id="{E91E4E8C-126E-370D-A98C-903D36B30332}"/>
            </a:ext>
          </a:extLst>
        </xdr:cNvPr>
        <xdr:cNvGrpSpPr/>
      </xdr:nvGrpSpPr>
      <xdr:grpSpPr>
        <a:xfrm>
          <a:off x="7744654" y="656811"/>
          <a:ext cx="2562639" cy="1570796"/>
          <a:chOff x="4837045" y="654326"/>
          <a:chExt cx="2575891" cy="1581978"/>
        </a:xfrm>
      </xdr:grpSpPr>
      <xdr:grpSp>
        <xdr:nvGrpSpPr>
          <xdr:cNvPr id="17" name="Group 16">
            <a:extLst>
              <a:ext uri="{FF2B5EF4-FFF2-40B4-BE49-F238E27FC236}">
                <a16:creationId xmlns:a16="http://schemas.microsoft.com/office/drawing/2014/main" id="{296580AC-B563-75E9-AC09-45A13E67B849}"/>
              </a:ext>
            </a:extLst>
          </xdr:cNvPr>
          <xdr:cNvGrpSpPr/>
        </xdr:nvGrpSpPr>
        <xdr:grpSpPr>
          <a:xfrm>
            <a:off x="4837045" y="654326"/>
            <a:ext cx="2575891" cy="1581978"/>
            <a:chOff x="1944272" y="712305"/>
            <a:chExt cx="2110556" cy="1581978"/>
          </a:xfrm>
        </xdr:grpSpPr>
        <xdr:sp macro="" textlink="">
          <xdr:nvSpPr>
            <xdr:cNvPr id="18" name="Rectangle: Rounded Corners 17">
              <a:extLst>
                <a:ext uri="{FF2B5EF4-FFF2-40B4-BE49-F238E27FC236}">
                  <a16:creationId xmlns:a16="http://schemas.microsoft.com/office/drawing/2014/main" id="{3D368E35-59DC-2B14-FD9C-AD9C9A78E86F}"/>
                </a:ext>
              </a:extLst>
            </xdr:cNvPr>
            <xdr:cNvSpPr/>
          </xdr:nvSpPr>
          <xdr:spPr>
            <a:xfrm>
              <a:off x="1992456" y="1118151"/>
              <a:ext cx="2062372" cy="1151285"/>
            </a:xfrm>
            <a:prstGeom prst="roundRect">
              <a:avLst/>
            </a:prstGeom>
            <a:gradFill>
              <a:gsLst>
                <a:gs pos="0">
                  <a:schemeClr val="tx1">
                    <a:lumMod val="85000"/>
                    <a:lumOff val="15000"/>
                    <a:alpha val="80000"/>
                  </a:schemeClr>
                </a:gs>
                <a:gs pos="100000">
                  <a:schemeClr val="tx1">
                    <a:lumMod val="50000"/>
                    <a:lumOff val="50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Sheet2!$E$15">
          <xdr:nvSpPr>
            <xdr:cNvPr id="19" name="Rectangle: Rounded Corners 18">
              <a:extLst>
                <a:ext uri="{FF2B5EF4-FFF2-40B4-BE49-F238E27FC236}">
                  <a16:creationId xmlns:a16="http://schemas.microsoft.com/office/drawing/2014/main" id="{99C3AE41-6D91-C61B-A768-54AD47226DF2}"/>
                </a:ext>
              </a:extLst>
            </xdr:cNvPr>
            <xdr:cNvSpPr/>
          </xdr:nvSpPr>
          <xdr:spPr>
            <a:xfrm>
              <a:off x="2318231" y="1167846"/>
              <a:ext cx="1293888" cy="356154"/>
            </a:xfrm>
            <a:prstGeom prst="roundRect">
              <a:avLst/>
            </a:prstGeom>
            <a:gradFill>
              <a:gsLst>
                <a:gs pos="0">
                  <a:schemeClr val="tx1">
                    <a:lumMod val="85000"/>
                    <a:lumOff val="15000"/>
                    <a:alpha val="80000"/>
                  </a:schemeClr>
                </a:gs>
                <a:gs pos="100000">
                  <a:schemeClr val="tx1">
                    <a:lumMod val="50000"/>
                    <a:lumOff val="50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A7D20E7-3F32-45CC-8207-0658999967B8}" type="TxLink">
                <a:rPr lang="en-US" sz="1100" b="0" i="0" u="none" strike="noStrike">
                  <a:solidFill>
                    <a:schemeClr val="bg1"/>
                  </a:solidFill>
                  <a:latin typeface="Aptos Narrow"/>
                </a:rPr>
                <a:pPr algn="ctr"/>
                <a:t>₹ 53,336.52</a:t>
              </a:fld>
              <a:endParaRPr lang="en-IN" sz="1200">
                <a:solidFill>
                  <a:schemeClr val="bg1"/>
                </a:solidFill>
              </a:endParaRPr>
            </a:p>
          </xdr:txBody>
        </xdr:sp>
        <xdr:sp macro="" textlink="">
          <xdr:nvSpPr>
            <xdr:cNvPr id="20" name="Rectangle: Rounded Corners 19">
              <a:extLst>
                <a:ext uri="{FF2B5EF4-FFF2-40B4-BE49-F238E27FC236}">
                  <a16:creationId xmlns:a16="http://schemas.microsoft.com/office/drawing/2014/main" id="{1C6C2DC6-F0FC-CDF7-A1BB-6C114EE4A990}"/>
                </a:ext>
              </a:extLst>
            </xdr:cNvPr>
            <xdr:cNvSpPr/>
          </xdr:nvSpPr>
          <xdr:spPr>
            <a:xfrm>
              <a:off x="2178327" y="1987826"/>
              <a:ext cx="1664804" cy="306457"/>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YOY GROWTH</a:t>
              </a:r>
              <a:r>
                <a:rPr lang="en-IN" sz="1100" baseline="0"/>
                <a:t> </a:t>
              </a:r>
            </a:p>
          </xdr:txBody>
        </xdr:sp>
        <xdr:sp macro="" textlink="">
          <xdr:nvSpPr>
            <xdr:cNvPr id="21" name="Rectangle: Rounded Corners 20">
              <a:extLst>
                <a:ext uri="{FF2B5EF4-FFF2-40B4-BE49-F238E27FC236}">
                  <a16:creationId xmlns:a16="http://schemas.microsoft.com/office/drawing/2014/main" id="{B0FAA274-7DA0-368D-745C-79A20181E29D}"/>
                </a:ext>
              </a:extLst>
            </xdr:cNvPr>
            <xdr:cNvSpPr/>
          </xdr:nvSpPr>
          <xdr:spPr>
            <a:xfrm>
              <a:off x="1944272" y="712305"/>
              <a:ext cx="2080228" cy="396000"/>
            </a:xfrm>
            <a:prstGeom prst="roundRect">
              <a:avLst/>
            </a:prstGeom>
            <a:gradFill>
              <a:gsLst>
                <a:gs pos="0">
                  <a:schemeClr val="tx1">
                    <a:lumMod val="85000"/>
                    <a:lumOff val="15000"/>
                    <a:alpha val="80000"/>
                  </a:schemeClr>
                </a:gs>
                <a:gs pos="100000">
                  <a:schemeClr val="tx1">
                    <a:lumMod val="50000"/>
                    <a:lumOff val="50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t>PROFIT</a:t>
              </a:r>
            </a:p>
          </xdr:txBody>
        </xdr:sp>
      </xdr:grpSp>
      <xdr:graphicFrame macro="">
        <xdr:nvGraphicFramePr>
          <xdr:cNvPr id="32" name="Chart 31">
            <a:extLst>
              <a:ext uri="{FF2B5EF4-FFF2-40B4-BE49-F238E27FC236}">
                <a16:creationId xmlns:a16="http://schemas.microsoft.com/office/drawing/2014/main" id="{60F6F883-6E3C-4C4C-AC76-4AC1821949F8}"/>
              </a:ext>
            </a:extLst>
          </xdr:cNvPr>
          <xdr:cNvGraphicFramePr>
            <a:graphicFrameLocks/>
          </xdr:cNvGraphicFramePr>
        </xdr:nvGraphicFramePr>
        <xdr:xfrm>
          <a:off x="5334000" y="1457741"/>
          <a:ext cx="1524000" cy="422412"/>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editAs="oneCell">
    <xdr:from>
      <xdr:col>15</xdr:col>
      <xdr:colOff>82825</xdr:colOff>
      <xdr:row>10</xdr:row>
      <xdr:rowOff>99391</xdr:rowOff>
    </xdr:from>
    <xdr:to>
      <xdr:col>16</xdr:col>
      <xdr:colOff>285323</xdr:colOff>
      <xdr:row>11</xdr:row>
      <xdr:rowOff>115311</xdr:rowOff>
    </xdr:to>
    <xdr:pic>
      <xdr:nvPicPr>
        <xdr:cNvPr id="34" name="Picture 33">
          <a:extLst>
            <a:ext uri="{FF2B5EF4-FFF2-40B4-BE49-F238E27FC236}">
              <a16:creationId xmlns:a16="http://schemas.microsoft.com/office/drawing/2014/main" id="{0F93D835-EDF3-79C6-28F2-D597AA025F5C}"/>
            </a:ext>
          </a:extLst>
        </xdr:cNvPr>
        <xdr:cNvPicPr>
          <a:picLocks noChangeAspect="1"/>
        </xdr:cNvPicPr>
      </xdr:nvPicPr>
      <xdr:blipFill>
        <a:blip xmlns:r="http://schemas.openxmlformats.org/officeDocument/2006/relationships" r:embed="rId2"/>
        <a:stretch>
          <a:fillRect/>
        </a:stretch>
      </xdr:blipFill>
      <xdr:spPr>
        <a:xfrm>
          <a:off x="9276521" y="1921565"/>
          <a:ext cx="815411" cy="198137"/>
        </a:xfrm>
        <a:prstGeom prst="rect">
          <a:avLst/>
        </a:prstGeom>
      </xdr:spPr>
    </xdr:pic>
    <xdr:clientData/>
  </xdr:twoCellAnchor>
  <xdr:twoCellAnchor editAs="oneCell">
    <xdr:from>
      <xdr:col>10</xdr:col>
      <xdr:colOff>563218</xdr:colOff>
      <xdr:row>10</xdr:row>
      <xdr:rowOff>107673</xdr:rowOff>
    </xdr:from>
    <xdr:to>
      <xdr:col>12</xdr:col>
      <xdr:colOff>140804</xdr:colOff>
      <xdr:row>11</xdr:row>
      <xdr:rowOff>115293</xdr:rowOff>
    </xdr:to>
    <xdr:pic>
      <xdr:nvPicPr>
        <xdr:cNvPr id="35" name="Picture 34">
          <a:extLst>
            <a:ext uri="{FF2B5EF4-FFF2-40B4-BE49-F238E27FC236}">
              <a16:creationId xmlns:a16="http://schemas.microsoft.com/office/drawing/2014/main" id="{F2145BED-0B22-8362-0E61-8D27BDD4B36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692348" y="1929847"/>
          <a:ext cx="803413" cy="18983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18</xdr:col>
      <xdr:colOff>99390</xdr:colOff>
      <xdr:row>7</xdr:row>
      <xdr:rowOff>173935</xdr:rowOff>
    </xdr:from>
    <xdr:to>
      <xdr:col>20</xdr:col>
      <xdr:colOff>306455</xdr:colOff>
      <xdr:row>10</xdr:row>
      <xdr:rowOff>24848</xdr:rowOff>
    </xdr:to>
    <xdr:graphicFrame macro="">
      <xdr:nvGraphicFramePr>
        <xdr:cNvPr id="36" name="Chart 35">
          <a:extLst>
            <a:ext uri="{FF2B5EF4-FFF2-40B4-BE49-F238E27FC236}">
              <a16:creationId xmlns:a16="http://schemas.microsoft.com/office/drawing/2014/main" id="{4FDF7FD2-5761-4524-AB72-17F131891D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mc:AlternateContent xmlns:mc="http://schemas.openxmlformats.org/markup-compatibility/2006">
    <mc:Choice xmlns:a14="http://schemas.microsoft.com/office/drawing/2010/main" Requires="a14">
      <xdr:twoCellAnchor editAs="oneCell">
        <xdr:from>
          <xdr:col>19</xdr:col>
          <xdr:colOff>231913</xdr:colOff>
          <xdr:row>10</xdr:row>
          <xdr:rowOff>66260</xdr:rowOff>
        </xdr:from>
        <xdr:to>
          <xdr:col>20</xdr:col>
          <xdr:colOff>464489</xdr:colOff>
          <xdr:row>11</xdr:row>
          <xdr:rowOff>107674</xdr:rowOff>
        </xdr:to>
        <xdr:pic>
          <xdr:nvPicPr>
            <xdr:cNvPr id="38" name="Picture 37">
              <a:extLst>
                <a:ext uri="{FF2B5EF4-FFF2-40B4-BE49-F238E27FC236}">
                  <a16:creationId xmlns:a16="http://schemas.microsoft.com/office/drawing/2014/main" id="{9CF79A01-53B6-6D1B-A4DD-8E320DE5F359}"/>
                </a:ext>
              </a:extLst>
            </xdr:cNvPr>
            <xdr:cNvPicPr>
              <a:picLocks noChangeAspect="1" noChangeArrowheads="1"/>
              <a:extLst>
                <a:ext uri="{84589F7E-364E-4C9E-8A38-B11213B215E9}">
                  <a14:cameraTool cellRange="KPI!$B$8" spid="_x0000_s3802"/>
                </a:ext>
              </a:extLst>
            </xdr:cNvPicPr>
          </xdr:nvPicPr>
          <xdr:blipFill>
            <a:blip xmlns:r="http://schemas.openxmlformats.org/officeDocument/2006/relationships" r:embed="rId5"/>
            <a:srcRect/>
            <a:stretch>
              <a:fillRect/>
            </a:stretch>
          </xdr:blipFill>
          <xdr:spPr bwMode="auto">
            <a:xfrm>
              <a:off x="11877261" y="1888434"/>
              <a:ext cx="845489" cy="223631"/>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21</xdr:col>
      <xdr:colOff>215347</xdr:colOff>
      <xdr:row>3</xdr:row>
      <xdr:rowOff>33131</xdr:rowOff>
    </xdr:from>
    <xdr:to>
      <xdr:col>25</xdr:col>
      <xdr:colOff>231911</xdr:colOff>
      <xdr:row>11</xdr:row>
      <xdr:rowOff>124239</xdr:rowOff>
    </xdr:to>
    <xdr:grpSp>
      <xdr:nvGrpSpPr>
        <xdr:cNvPr id="51" name="Group 50">
          <a:extLst>
            <a:ext uri="{FF2B5EF4-FFF2-40B4-BE49-F238E27FC236}">
              <a16:creationId xmlns:a16="http://schemas.microsoft.com/office/drawing/2014/main" id="{F892E790-E036-6392-4F14-AC0E97047329}"/>
            </a:ext>
          </a:extLst>
        </xdr:cNvPr>
        <xdr:cNvGrpSpPr/>
      </xdr:nvGrpSpPr>
      <xdr:grpSpPr>
        <a:xfrm>
          <a:off x="13016947" y="576056"/>
          <a:ext cx="2454964" cy="1538908"/>
          <a:chOff x="9980543" y="612914"/>
          <a:chExt cx="2468216" cy="1548847"/>
        </a:xfrm>
      </xdr:grpSpPr>
      <xdr:grpSp>
        <xdr:nvGrpSpPr>
          <xdr:cNvPr id="27" name="Group 26">
            <a:extLst>
              <a:ext uri="{FF2B5EF4-FFF2-40B4-BE49-F238E27FC236}">
                <a16:creationId xmlns:a16="http://schemas.microsoft.com/office/drawing/2014/main" id="{80026867-FD07-6161-0D2C-74F0BD7340FA}"/>
              </a:ext>
            </a:extLst>
          </xdr:cNvPr>
          <xdr:cNvGrpSpPr/>
        </xdr:nvGrpSpPr>
        <xdr:grpSpPr>
          <a:xfrm>
            <a:off x="9980543" y="612914"/>
            <a:ext cx="2468216" cy="1548847"/>
            <a:chOff x="1937485" y="712305"/>
            <a:chExt cx="2080228" cy="1548847"/>
          </a:xfrm>
        </xdr:grpSpPr>
        <xdr:sp macro="" textlink="">
          <xdr:nvSpPr>
            <xdr:cNvPr id="28" name="Rectangle: Rounded Corners 27">
              <a:extLst>
                <a:ext uri="{FF2B5EF4-FFF2-40B4-BE49-F238E27FC236}">
                  <a16:creationId xmlns:a16="http://schemas.microsoft.com/office/drawing/2014/main" id="{59DABA49-0F5C-5B62-65CD-D3A217475DC1}"/>
                </a:ext>
              </a:extLst>
            </xdr:cNvPr>
            <xdr:cNvSpPr/>
          </xdr:nvSpPr>
          <xdr:spPr>
            <a:xfrm>
              <a:off x="1946412" y="1109869"/>
              <a:ext cx="2062372" cy="1151283"/>
            </a:xfrm>
            <a:prstGeom prst="roundRect">
              <a:avLst/>
            </a:prstGeom>
            <a:gradFill>
              <a:gsLst>
                <a:gs pos="0">
                  <a:schemeClr val="tx1">
                    <a:lumMod val="85000"/>
                    <a:lumOff val="15000"/>
                    <a:alpha val="80000"/>
                  </a:schemeClr>
                </a:gs>
                <a:gs pos="100000">
                  <a:schemeClr val="tx1">
                    <a:lumMod val="50000"/>
                    <a:lumOff val="50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Sheet2!$K$15">
          <xdr:nvSpPr>
            <xdr:cNvPr id="29" name="Rectangle: Rounded Corners 28">
              <a:extLst>
                <a:ext uri="{FF2B5EF4-FFF2-40B4-BE49-F238E27FC236}">
                  <a16:creationId xmlns:a16="http://schemas.microsoft.com/office/drawing/2014/main" id="{F05CAE3D-0D2B-4318-524F-DA52AF6E2294}"/>
                </a:ext>
              </a:extLst>
            </xdr:cNvPr>
            <xdr:cNvSpPr/>
          </xdr:nvSpPr>
          <xdr:spPr>
            <a:xfrm>
              <a:off x="2318231" y="1167846"/>
              <a:ext cx="1293888" cy="356154"/>
            </a:xfrm>
            <a:prstGeom prst="roundRect">
              <a:avLst/>
            </a:prstGeom>
            <a:gradFill>
              <a:gsLst>
                <a:gs pos="0">
                  <a:schemeClr val="tx1">
                    <a:lumMod val="85000"/>
                    <a:lumOff val="15000"/>
                    <a:alpha val="80000"/>
                  </a:schemeClr>
                </a:gs>
                <a:gs pos="100000">
                  <a:schemeClr val="tx1">
                    <a:lumMod val="50000"/>
                    <a:lumOff val="50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614EA5E-166B-48BC-973D-D24804805DC5}" type="TxLink">
                <a:rPr lang="en-US" sz="1100" b="0" i="0" u="none" strike="noStrike">
                  <a:solidFill>
                    <a:schemeClr val="bg1"/>
                  </a:solidFill>
                  <a:latin typeface="Aptos Narrow"/>
                </a:rPr>
                <a:pPr algn="ctr"/>
                <a:t>17.29%</a:t>
              </a:fld>
              <a:endParaRPr lang="en-IN" sz="1200">
                <a:solidFill>
                  <a:schemeClr val="bg1"/>
                </a:solidFill>
              </a:endParaRPr>
            </a:p>
          </xdr:txBody>
        </xdr:sp>
        <xdr:sp macro="" textlink="">
          <xdr:nvSpPr>
            <xdr:cNvPr id="30" name="Rectangle: Rounded Corners 29">
              <a:extLst>
                <a:ext uri="{FF2B5EF4-FFF2-40B4-BE49-F238E27FC236}">
                  <a16:creationId xmlns:a16="http://schemas.microsoft.com/office/drawing/2014/main" id="{B5BF50C5-858F-4F86-5F90-02D9B62AD747}"/>
                </a:ext>
              </a:extLst>
            </xdr:cNvPr>
            <xdr:cNvSpPr/>
          </xdr:nvSpPr>
          <xdr:spPr>
            <a:xfrm>
              <a:off x="2178327" y="1929847"/>
              <a:ext cx="1664804" cy="306457"/>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YOY GROWTH</a:t>
              </a:r>
              <a:r>
                <a:rPr lang="en-IN" sz="1100" baseline="0"/>
                <a:t> </a:t>
              </a:r>
            </a:p>
          </xdr:txBody>
        </xdr:sp>
        <xdr:sp macro="" textlink="">
          <xdr:nvSpPr>
            <xdr:cNvPr id="31" name="Rectangle: Rounded Corners 30">
              <a:extLst>
                <a:ext uri="{FF2B5EF4-FFF2-40B4-BE49-F238E27FC236}">
                  <a16:creationId xmlns:a16="http://schemas.microsoft.com/office/drawing/2014/main" id="{CEF355D9-6691-DC5C-C102-CD1F3CFBFC31}"/>
                </a:ext>
              </a:extLst>
            </xdr:cNvPr>
            <xdr:cNvSpPr/>
          </xdr:nvSpPr>
          <xdr:spPr>
            <a:xfrm>
              <a:off x="1937485" y="712305"/>
              <a:ext cx="2080228" cy="396000"/>
            </a:xfrm>
            <a:prstGeom prst="roundRect">
              <a:avLst/>
            </a:prstGeom>
            <a:gradFill>
              <a:gsLst>
                <a:gs pos="0">
                  <a:schemeClr val="tx1">
                    <a:lumMod val="85000"/>
                    <a:lumOff val="15000"/>
                    <a:alpha val="80000"/>
                  </a:schemeClr>
                </a:gs>
                <a:gs pos="100000">
                  <a:schemeClr val="tx1">
                    <a:lumMod val="50000"/>
                    <a:lumOff val="50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t>PROFIT</a:t>
              </a:r>
              <a:r>
                <a:rPr lang="en-IN" sz="1600" baseline="0"/>
                <a:t> MARGIN</a:t>
              </a:r>
              <a:endParaRPr lang="en-IN" sz="1600"/>
            </a:p>
          </xdr:txBody>
        </xdr:sp>
      </xdr:grpSp>
      <xdr:graphicFrame macro="">
        <xdr:nvGraphicFramePr>
          <xdr:cNvPr id="39" name="Chart 38">
            <a:extLst>
              <a:ext uri="{FF2B5EF4-FFF2-40B4-BE49-F238E27FC236}">
                <a16:creationId xmlns:a16="http://schemas.microsoft.com/office/drawing/2014/main" id="{E19AD282-2DB3-483D-84F7-CDB7F7D6014A}"/>
              </a:ext>
            </a:extLst>
          </xdr:cNvPr>
          <xdr:cNvGraphicFramePr>
            <a:graphicFrameLocks/>
          </xdr:cNvGraphicFramePr>
        </xdr:nvGraphicFramePr>
        <xdr:xfrm>
          <a:off x="10485783" y="1449456"/>
          <a:ext cx="1325217" cy="414131"/>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mc:AlternateContent xmlns:mc="http://schemas.openxmlformats.org/markup-compatibility/2006">
    <mc:Choice xmlns:a14="http://schemas.microsoft.com/office/drawing/2010/main" Requires="a14">
      <xdr:twoCellAnchor editAs="oneCell">
        <xdr:from>
          <xdr:col>23</xdr:col>
          <xdr:colOff>456679</xdr:colOff>
          <xdr:row>10</xdr:row>
          <xdr:rowOff>24848</xdr:rowOff>
        </xdr:from>
        <xdr:to>
          <xdr:col>24</xdr:col>
          <xdr:colOff>571499</xdr:colOff>
          <xdr:row>11</xdr:row>
          <xdr:rowOff>57979</xdr:rowOff>
        </xdr:to>
        <xdr:pic>
          <xdr:nvPicPr>
            <xdr:cNvPr id="41" name="Picture 40">
              <a:extLst>
                <a:ext uri="{FF2B5EF4-FFF2-40B4-BE49-F238E27FC236}">
                  <a16:creationId xmlns:a16="http://schemas.microsoft.com/office/drawing/2014/main" id="{ABB7548F-5E0D-1FFB-03F4-9B5ED262E5A4}"/>
                </a:ext>
              </a:extLst>
            </xdr:cNvPr>
            <xdr:cNvPicPr>
              <a:picLocks noChangeAspect="1" noChangeArrowheads="1"/>
              <a:extLst>
                <a:ext uri="{84589F7E-364E-4C9E-8A38-B11213B215E9}">
                  <a14:cameraTool cellRange="KPI!$E$8" spid="_x0000_s3803"/>
                </a:ext>
              </a:extLst>
            </xdr:cNvPicPr>
          </xdr:nvPicPr>
          <xdr:blipFill>
            <a:blip xmlns:r="http://schemas.openxmlformats.org/officeDocument/2006/relationships" r:embed="rId7"/>
            <a:srcRect/>
            <a:stretch>
              <a:fillRect/>
            </a:stretch>
          </xdr:blipFill>
          <xdr:spPr bwMode="auto">
            <a:xfrm>
              <a:off x="14553679" y="1847022"/>
              <a:ext cx="727733" cy="215348"/>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9</xdr:col>
      <xdr:colOff>157370</xdr:colOff>
      <xdr:row>8</xdr:row>
      <xdr:rowOff>16566</xdr:rowOff>
    </xdr:from>
    <xdr:to>
      <xdr:col>11</xdr:col>
      <xdr:colOff>563217</xdr:colOff>
      <xdr:row>10</xdr:row>
      <xdr:rowOff>41413</xdr:rowOff>
    </xdr:to>
    <xdr:graphicFrame macro="">
      <xdr:nvGraphicFramePr>
        <xdr:cNvPr id="42" name="Chart 41">
          <a:extLst>
            <a:ext uri="{FF2B5EF4-FFF2-40B4-BE49-F238E27FC236}">
              <a16:creationId xmlns:a16="http://schemas.microsoft.com/office/drawing/2014/main" id="{4A6583CE-1F23-4606-BEC8-D2DC6023A2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115957</xdr:colOff>
      <xdr:row>3</xdr:row>
      <xdr:rowOff>107674</xdr:rowOff>
    </xdr:from>
    <xdr:to>
      <xdr:col>8</xdr:col>
      <xdr:colOff>74544</xdr:colOff>
      <xdr:row>13</xdr:row>
      <xdr:rowOff>8283</xdr:rowOff>
    </xdr:to>
    <xdr:sp macro="" textlink="">
      <xdr:nvSpPr>
        <xdr:cNvPr id="53" name="Rectangle: Rounded Corners 52">
          <a:extLst>
            <a:ext uri="{FF2B5EF4-FFF2-40B4-BE49-F238E27FC236}">
              <a16:creationId xmlns:a16="http://schemas.microsoft.com/office/drawing/2014/main" id="{8BD668E0-4925-DAEB-B395-A7DB4B0B3BF1}"/>
            </a:ext>
          </a:extLst>
        </xdr:cNvPr>
        <xdr:cNvSpPr/>
      </xdr:nvSpPr>
      <xdr:spPr>
        <a:xfrm>
          <a:off x="115957" y="654326"/>
          <a:ext cx="4861891" cy="1722783"/>
        </a:xfrm>
        <a:prstGeom prst="roundRect">
          <a:avLst/>
        </a:prstGeom>
        <a:gradFill>
          <a:gsLst>
            <a:gs pos="0">
              <a:schemeClr val="tx1">
                <a:lumMod val="85000"/>
                <a:lumOff val="15000"/>
                <a:alpha val="80000"/>
              </a:schemeClr>
            </a:gs>
            <a:gs pos="100000">
              <a:schemeClr val="tx1">
                <a:lumMod val="50000"/>
                <a:lumOff val="50000"/>
                <a:alpha val="7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12</xdr:row>
      <xdr:rowOff>16564</xdr:rowOff>
    </xdr:from>
    <xdr:to>
      <xdr:col>25</xdr:col>
      <xdr:colOff>172277</xdr:colOff>
      <xdr:row>37</xdr:row>
      <xdr:rowOff>67917</xdr:rowOff>
    </xdr:to>
    <xdr:grpSp>
      <xdr:nvGrpSpPr>
        <xdr:cNvPr id="99" name="Group 98">
          <a:extLst>
            <a:ext uri="{FF2B5EF4-FFF2-40B4-BE49-F238E27FC236}">
              <a16:creationId xmlns:a16="http://schemas.microsoft.com/office/drawing/2014/main" id="{A9795592-20E7-A52B-C103-582C4698B625}"/>
            </a:ext>
          </a:extLst>
        </xdr:cNvPr>
        <xdr:cNvGrpSpPr/>
      </xdr:nvGrpSpPr>
      <xdr:grpSpPr>
        <a:xfrm>
          <a:off x="0" y="2188264"/>
          <a:ext cx="15412277" cy="4575728"/>
          <a:chOff x="0" y="2211456"/>
          <a:chExt cx="15495103" cy="4606787"/>
        </a:xfrm>
      </xdr:grpSpPr>
      <xdr:grpSp>
        <xdr:nvGrpSpPr>
          <xdr:cNvPr id="98" name="Group 97">
            <a:extLst>
              <a:ext uri="{FF2B5EF4-FFF2-40B4-BE49-F238E27FC236}">
                <a16:creationId xmlns:a16="http://schemas.microsoft.com/office/drawing/2014/main" id="{27AD440A-0782-A16E-B486-5617958042BA}"/>
              </a:ext>
            </a:extLst>
          </xdr:cNvPr>
          <xdr:cNvGrpSpPr/>
        </xdr:nvGrpSpPr>
        <xdr:grpSpPr>
          <a:xfrm>
            <a:off x="0" y="2211456"/>
            <a:ext cx="15495103" cy="2377108"/>
            <a:chOff x="0" y="2211456"/>
            <a:chExt cx="15495103" cy="2377108"/>
          </a:xfrm>
        </xdr:grpSpPr>
        <xdr:sp macro="" textlink="">
          <xdr:nvSpPr>
            <xdr:cNvPr id="54" name="Rectangle: Rounded Corners 53">
              <a:extLst>
                <a:ext uri="{FF2B5EF4-FFF2-40B4-BE49-F238E27FC236}">
                  <a16:creationId xmlns:a16="http://schemas.microsoft.com/office/drawing/2014/main" id="{F4AA7180-6222-2408-0A64-6C8C8721B875}"/>
                </a:ext>
              </a:extLst>
            </xdr:cNvPr>
            <xdr:cNvSpPr/>
          </xdr:nvSpPr>
          <xdr:spPr>
            <a:xfrm>
              <a:off x="0" y="2435088"/>
              <a:ext cx="5201478" cy="2136913"/>
            </a:xfrm>
            <a:prstGeom prst="roundRect">
              <a:avLst/>
            </a:prstGeom>
            <a:gradFill>
              <a:gsLst>
                <a:gs pos="0">
                  <a:schemeClr val="tx1">
                    <a:lumMod val="85000"/>
                    <a:lumOff val="15000"/>
                    <a:alpha val="80000"/>
                  </a:schemeClr>
                </a:gs>
                <a:gs pos="100000">
                  <a:schemeClr val="tx1">
                    <a:lumMod val="50000"/>
                    <a:lumOff val="50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5" name="Rectangle: Rounded Corners 54">
              <a:extLst>
                <a:ext uri="{FF2B5EF4-FFF2-40B4-BE49-F238E27FC236}">
                  <a16:creationId xmlns:a16="http://schemas.microsoft.com/office/drawing/2014/main" id="{3700BB41-92C9-B903-C2CC-0681CE6F59A4}"/>
                </a:ext>
              </a:extLst>
            </xdr:cNvPr>
            <xdr:cNvSpPr/>
          </xdr:nvSpPr>
          <xdr:spPr>
            <a:xfrm>
              <a:off x="5246204" y="2244587"/>
              <a:ext cx="5201478" cy="2343977"/>
            </a:xfrm>
            <a:prstGeom prst="roundRect">
              <a:avLst/>
            </a:prstGeom>
            <a:gradFill>
              <a:gsLst>
                <a:gs pos="0">
                  <a:schemeClr val="tx1">
                    <a:lumMod val="85000"/>
                    <a:lumOff val="15000"/>
                    <a:alpha val="80000"/>
                  </a:schemeClr>
                </a:gs>
                <a:gs pos="100000">
                  <a:schemeClr val="tx1">
                    <a:lumMod val="50000"/>
                    <a:lumOff val="50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3" name="Rectangle: Rounded Corners 82">
              <a:extLst>
                <a:ext uri="{FF2B5EF4-FFF2-40B4-BE49-F238E27FC236}">
                  <a16:creationId xmlns:a16="http://schemas.microsoft.com/office/drawing/2014/main" id="{D7B9D245-CD16-146E-7267-98D0E2F03F98}"/>
                </a:ext>
              </a:extLst>
            </xdr:cNvPr>
            <xdr:cNvSpPr/>
          </xdr:nvSpPr>
          <xdr:spPr>
            <a:xfrm>
              <a:off x="10510630" y="2211456"/>
              <a:ext cx="4984473" cy="2350606"/>
            </a:xfrm>
            <a:prstGeom prst="roundRect">
              <a:avLst/>
            </a:prstGeom>
            <a:gradFill>
              <a:gsLst>
                <a:gs pos="0">
                  <a:schemeClr val="tx1">
                    <a:lumMod val="85000"/>
                    <a:lumOff val="15000"/>
                    <a:alpha val="80000"/>
                  </a:schemeClr>
                </a:gs>
                <a:gs pos="100000">
                  <a:schemeClr val="tx1">
                    <a:lumMod val="50000"/>
                    <a:lumOff val="50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sp macro="" textlink="">
        <xdr:nvSpPr>
          <xdr:cNvPr id="84" name="Rectangle: Rounded Corners 83">
            <a:extLst>
              <a:ext uri="{FF2B5EF4-FFF2-40B4-BE49-F238E27FC236}">
                <a16:creationId xmlns:a16="http://schemas.microsoft.com/office/drawing/2014/main" id="{9877781C-69F3-81BA-1892-5DFEF0427616}"/>
              </a:ext>
            </a:extLst>
          </xdr:cNvPr>
          <xdr:cNvSpPr/>
        </xdr:nvSpPr>
        <xdr:spPr>
          <a:xfrm>
            <a:off x="44726" y="4608445"/>
            <a:ext cx="5201478" cy="2136913"/>
          </a:xfrm>
          <a:prstGeom prst="roundRect">
            <a:avLst/>
          </a:prstGeom>
          <a:gradFill>
            <a:gsLst>
              <a:gs pos="0">
                <a:schemeClr val="tx1">
                  <a:lumMod val="85000"/>
                  <a:lumOff val="15000"/>
                  <a:alpha val="80000"/>
                </a:schemeClr>
              </a:gs>
              <a:gs pos="100000">
                <a:schemeClr val="tx1">
                  <a:lumMod val="50000"/>
                  <a:lumOff val="50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7" name="Rectangle: Rounded Corners 86">
            <a:extLst>
              <a:ext uri="{FF2B5EF4-FFF2-40B4-BE49-F238E27FC236}">
                <a16:creationId xmlns:a16="http://schemas.microsoft.com/office/drawing/2014/main" id="{F42206C2-5D35-BD86-484D-6D1F57558B39}"/>
              </a:ext>
            </a:extLst>
          </xdr:cNvPr>
          <xdr:cNvSpPr/>
        </xdr:nvSpPr>
        <xdr:spPr>
          <a:xfrm>
            <a:off x="5324061" y="4661453"/>
            <a:ext cx="5070613" cy="2136913"/>
          </a:xfrm>
          <a:prstGeom prst="roundRect">
            <a:avLst/>
          </a:prstGeom>
          <a:gradFill>
            <a:gsLst>
              <a:gs pos="0">
                <a:schemeClr val="tx1">
                  <a:lumMod val="85000"/>
                  <a:lumOff val="15000"/>
                  <a:alpha val="80000"/>
                </a:schemeClr>
              </a:gs>
              <a:gs pos="100000">
                <a:schemeClr val="tx1">
                  <a:lumMod val="50000"/>
                  <a:lumOff val="50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8" name="Rectangle: Rounded Corners 87">
            <a:extLst>
              <a:ext uri="{FF2B5EF4-FFF2-40B4-BE49-F238E27FC236}">
                <a16:creationId xmlns:a16="http://schemas.microsoft.com/office/drawing/2014/main" id="{79DBC3C1-46A6-A373-14BE-959C24719FF3}"/>
              </a:ext>
            </a:extLst>
          </xdr:cNvPr>
          <xdr:cNvSpPr/>
        </xdr:nvSpPr>
        <xdr:spPr>
          <a:xfrm>
            <a:off x="10469217" y="4681330"/>
            <a:ext cx="4928152" cy="2136913"/>
          </a:xfrm>
          <a:prstGeom prst="roundRect">
            <a:avLst/>
          </a:prstGeom>
          <a:gradFill>
            <a:gsLst>
              <a:gs pos="0">
                <a:schemeClr val="tx1">
                  <a:lumMod val="85000"/>
                  <a:lumOff val="15000"/>
                  <a:alpha val="80000"/>
                </a:schemeClr>
              </a:gs>
              <a:gs pos="100000">
                <a:schemeClr val="tx1">
                  <a:lumMod val="50000"/>
                  <a:lumOff val="50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0</xdr:col>
      <xdr:colOff>256761</xdr:colOff>
      <xdr:row>13</xdr:row>
      <xdr:rowOff>115957</xdr:rowOff>
    </xdr:from>
    <xdr:to>
      <xdr:col>5</xdr:col>
      <xdr:colOff>173935</xdr:colOff>
      <xdr:row>15</xdr:row>
      <xdr:rowOff>33130</xdr:rowOff>
    </xdr:to>
    <xdr:sp macro="" textlink="">
      <xdr:nvSpPr>
        <xdr:cNvPr id="89" name="Rectangle: Rounded Corners 88">
          <a:extLst>
            <a:ext uri="{FF2B5EF4-FFF2-40B4-BE49-F238E27FC236}">
              <a16:creationId xmlns:a16="http://schemas.microsoft.com/office/drawing/2014/main" id="{0B2C60E6-D406-205F-E601-9E6260E33702}"/>
            </a:ext>
          </a:extLst>
        </xdr:cNvPr>
        <xdr:cNvSpPr/>
      </xdr:nvSpPr>
      <xdr:spPr>
        <a:xfrm>
          <a:off x="256761" y="2484783"/>
          <a:ext cx="2981739" cy="281608"/>
        </a:xfrm>
        <a:prstGeom prst="roundRect">
          <a:avLst/>
        </a:prstGeom>
        <a:gradFill>
          <a:gsLst>
            <a:gs pos="0">
              <a:schemeClr val="tx1">
                <a:lumMod val="85000"/>
                <a:lumOff val="15000"/>
                <a:alpha val="80000"/>
              </a:schemeClr>
            </a:gs>
            <a:gs pos="100000">
              <a:schemeClr val="bg2">
                <a:lumMod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t>SALES AND PROFIT</a:t>
          </a:r>
          <a:r>
            <a:rPr lang="en-IN" sz="1400" b="1" baseline="0"/>
            <a:t> ANALYSIS</a:t>
          </a:r>
          <a:endParaRPr lang="en-IN" sz="1400" b="1"/>
        </a:p>
      </xdr:txBody>
    </xdr:sp>
    <xdr:clientData/>
  </xdr:twoCellAnchor>
  <xdr:twoCellAnchor>
    <xdr:from>
      <xdr:col>8</xdr:col>
      <xdr:colOff>508553</xdr:colOff>
      <xdr:row>13</xdr:row>
      <xdr:rowOff>3313</xdr:rowOff>
    </xdr:from>
    <xdr:to>
      <xdr:col>13</xdr:col>
      <xdr:colOff>425726</xdr:colOff>
      <xdr:row>14</xdr:row>
      <xdr:rowOff>102704</xdr:rowOff>
    </xdr:to>
    <xdr:sp macro="" textlink="">
      <xdr:nvSpPr>
        <xdr:cNvPr id="90" name="Rectangle: Rounded Corners 89">
          <a:extLst>
            <a:ext uri="{FF2B5EF4-FFF2-40B4-BE49-F238E27FC236}">
              <a16:creationId xmlns:a16="http://schemas.microsoft.com/office/drawing/2014/main" id="{39B70FBE-20B9-97D5-3268-5D9D52D879D1}"/>
            </a:ext>
          </a:extLst>
        </xdr:cNvPr>
        <xdr:cNvSpPr/>
      </xdr:nvSpPr>
      <xdr:spPr>
        <a:xfrm>
          <a:off x="5411857" y="2372139"/>
          <a:ext cx="2981739" cy="281608"/>
        </a:xfrm>
        <a:prstGeom prst="roundRect">
          <a:avLst/>
        </a:prstGeom>
        <a:gradFill>
          <a:gsLst>
            <a:gs pos="0">
              <a:schemeClr val="tx1">
                <a:lumMod val="85000"/>
                <a:lumOff val="15000"/>
                <a:alpha val="80000"/>
              </a:schemeClr>
            </a:gs>
            <a:gs pos="100000">
              <a:schemeClr val="bg2">
                <a:lumMod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t>CATEGORY WISE PROFIT</a:t>
          </a:r>
        </a:p>
      </xdr:txBody>
    </xdr:sp>
    <xdr:clientData/>
  </xdr:twoCellAnchor>
  <xdr:twoCellAnchor>
    <xdr:from>
      <xdr:col>17</xdr:col>
      <xdr:colOff>246822</xdr:colOff>
      <xdr:row>12</xdr:row>
      <xdr:rowOff>89451</xdr:rowOff>
    </xdr:from>
    <xdr:to>
      <xdr:col>22</xdr:col>
      <xdr:colOff>163996</xdr:colOff>
      <xdr:row>14</xdr:row>
      <xdr:rowOff>6625</xdr:rowOff>
    </xdr:to>
    <xdr:sp macro="" textlink="">
      <xdr:nvSpPr>
        <xdr:cNvPr id="91" name="Rectangle: Rounded Corners 90">
          <a:extLst>
            <a:ext uri="{FF2B5EF4-FFF2-40B4-BE49-F238E27FC236}">
              <a16:creationId xmlns:a16="http://schemas.microsoft.com/office/drawing/2014/main" id="{455D8F88-BDBA-F948-4634-F1D42BFE2E59}"/>
            </a:ext>
          </a:extLst>
        </xdr:cNvPr>
        <xdr:cNvSpPr/>
      </xdr:nvSpPr>
      <xdr:spPr>
        <a:xfrm>
          <a:off x="10666344" y="2276060"/>
          <a:ext cx="2981739" cy="281608"/>
        </a:xfrm>
        <a:prstGeom prst="roundRect">
          <a:avLst/>
        </a:prstGeom>
        <a:gradFill>
          <a:gsLst>
            <a:gs pos="0">
              <a:schemeClr val="tx1">
                <a:lumMod val="85000"/>
                <a:lumOff val="15000"/>
                <a:alpha val="80000"/>
              </a:schemeClr>
            </a:gs>
            <a:gs pos="100000">
              <a:schemeClr val="bg2">
                <a:lumMod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t>CATEGORY WISE SALES</a:t>
          </a:r>
        </a:p>
      </xdr:txBody>
    </xdr:sp>
    <xdr:clientData/>
  </xdr:twoCellAnchor>
  <xdr:twoCellAnchor>
    <xdr:from>
      <xdr:col>0</xdr:col>
      <xdr:colOff>134179</xdr:colOff>
      <xdr:row>26</xdr:row>
      <xdr:rowOff>9938</xdr:rowOff>
    </xdr:from>
    <xdr:to>
      <xdr:col>5</xdr:col>
      <xdr:colOff>51353</xdr:colOff>
      <xdr:row>27</xdr:row>
      <xdr:rowOff>109328</xdr:rowOff>
    </xdr:to>
    <xdr:sp macro="" textlink="">
      <xdr:nvSpPr>
        <xdr:cNvPr id="93" name="Rectangle: Rounded Corners 92">
          <a:extLst>
            <a:ext uri="{FF2B5EF4-FFF2-40B4-BE49-F238E27FC236}">
              <a16:creationId xmlns:a16="http://schemas.microsoft.com/office/drawing/2014/main" id="{0B19F870-2BA5-AB1A-6594-AE2115F7C8F8}"/>
            </a:ext>
          </a:extLst>
        </xdr:cNvPr>
        <xdr:cNvSpPr/>
      </xdr:nvSpPr>
      <xdr:spPr>
        <a:xfrm>
          <a:off x="134179" y="4747590"/>
          <a:ext cx="2981739" cy="281608"/>
        </a:xfrm>
        <a:prstGeom prst="roundRect">
          <a:avLst/>
        </a:prstGeom>
        <a:gradFill>
          <a:gsLst>
            <a:gs pos="0">
              <a:schemeClr val="tx1">
                <a:lumMod val="85000"/>
                <a:lumOff val="15000"/>
                <a:alpha val="80000"/>
              </a:schemeClr>
            </a:gs>
            <a:gs pos="100000">
              <a:schemeClr val="bg2">
                <a:lumMod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t>REGION WISE SALES ANALYSIS</a:t>
          </a:r>
        </a:p>
      </xdr:txBody>
    </xdr:sp>
    <xdr:clientData/>
  </xdr:twoCellAnchor>
  <xdr:twoCellAnchor>
    <xdr:from>
      <xdr:col>0</xdr:col>
      <xdr:colOff>0</xdr:colOff>
      <xdr:row>39</xdr:row>
      <xdr:rowOff>112642</xdr:rowOff>
    </xdr:from>
    <xdr:to>
      <xdr:col>0</xdr:col>
      <xdr:colOff>0</xdr:colOff>
      <xdr:row>41</xdr:row>
      <xdr:rowOff>29815</xdr:rowOff>
    </xdr:to>
    <xdr:sp macro="" textlink="">
      <xdr:nvSpPr>
        <xdr:cNvPr id="94" name="Rectangle: Rounded Corners 93">
          <a:extLst>
            <a:ext uri="{FF2B5EF4-FFF2-40B4-BE49-F238E27FC236}">
              <a16:creationId xmlns:a16="http://schemas.microsoft.com/office/drawing/2014/main" id="{2C4FB3CF-D4CD-AA72-26A9-677C268BAD3E}"/>
            </a:ext>
          </a:extLst>
        </xdr:cNvPr>
        <xdr:cNvSpPr/>
      </xdr:nvSpPr>
      <xdr:spPr>
        <a:xfrm>
          <a:off x="0" y="7219120"/>
          <a:ext cx="0" cy="281608"/>
        </a:xfrm>
        <a:prstGeom prst="roundRect">
          <a:avLst/>
        </a:prstGeom>
        <a:gradFill>
          <a:gsLst>
            <a:gs pos="0">
              <a:schemeClr val="tx1">
                <a:lumMod val="85000"/>
                <a:lumOff val="15000"/>
                <a:alpha val="80000"/>
              </a:schemeClr>
            </a:gs>
            <a:gs pos="100000">
              <a:schemeClr val="bg2">
                <a:lumMod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53</xdr:row>
      <xdr:rowOff>33128</xdr:rowOff>
    </xdr:from>
    <xdr:to>
      <xdr:col>0</xdr:col>
      <xdr:colOff>0</xdr:colOff>
      <xdr:row>54</xdr:row>
      <xdr:rowOff>132519</xdr:rowOff>
    </xdr:to>
    <xdr:sp macro="" textlink="">
      <xdr:nvSpPr>
        <xdr:cNvPr id="95" name="Rectangle: Rounded Corners 94">
          <a:extLst>
            <a:ext uri="{FF2B5EF4-FFF2-40B4-BE49-F238E27FC236}">
              <a16:creationId xmlns:a16="http://schemas.microsoft.com/office/drawing/2014/main" id="{5D8850B9-2D93-311C-33BC-0F61EAB3DCFB}"/>
            </a:ext>
          </a:extLst>
        </xdr:cNvPr>
        <xdr:cNvSpPr/>
      </xdr:nvSpPr>
      <xdr:spPr>
        <a:xfrm>
          <a:off x="0" y="9690650"/>
          <a:ext cx="0" cy="281608"/>
        </a:xfrm>
        <a:prstGeom prst="roundRect">
          <a:avLst/>
        </a:prstGeom>
        <a:gradFill>
          <a:gsLst>
            <a:gs pos="0">
              <a:schemeClr val="tx1">
                <a:lumMod val="85000"/>
                <a:lumOff val="15000"/>
                <a:alpha val="80000"/>
              </a:schemeClr>
            </a:gs>
            <a:gs pos="100000">
              <a:schemeClr val="bg2">
                <a:lumMod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568188</xdr:colOff>
      <xdr:row>26</xdr:row>
      <xdr:rowOff>4969</xdr:rowOff>
    </xdr:from>
    <xdr:to>
      <xdr:col>13</xdr:col>
      <xdr:colOff>485361</xdr:colOff>
      <xdr:row>27</xdr:row>
      <xdr:rowOff>104359</xdr:rowOff>
    </xdr:to>
    <xdr:sp macro="" textlink="">
      <xdr:nvSpPr>
        <xdr:cNvPr id="96" name="Rectangle: Rounded Corners 95">
          <a:extLst>
            <a:ext uri="{FF2B5EF4-FFF2-40B4-BE49-F238E27FC236}">
              <a16:creationId xmlns:a16="http://schemas.microsoft.com/office/drawing/2014/main" id="{9924619C-C635-EC01-9B20-4B656FC242B2}"/>
            </a:ext>
          </a:extLst>
        </xdr:cNvPr>
        <xdr:cNvSpPr/>
      </xdr:nvSpPr>
      <xdr:spPr>
        <a:xfrm>
          <a:off x="5471492" y="4742621"/>
          <a:ext cx="2981739" cy="281608"/>
        </a:xfrm>
        <a:prstGeom prst="roundRect">
          <a:avLst/>
        </a:prstGeom>
        <a:gradFill>
          <a:gsLst>
            <a:gs pos="0">
              <a:schemeClr val="tx1">
                <a:lumMod val="85000"/>
                <a:lumOff val="15000"/>
                <a:alpha val="80000"/>
              </a:schemeClr>
            </a:gs>
            <a:gs pos="100000">
              <a:schemeClr val="bg2">
                <a:lumMod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t>PRODUCT BRAND WISE SALES ANALYSIS</a:t>
          </a:r>
        </a:p>
      </xdr:txBody>
    </xdr:sp>
    <xdr:clientData/>
  </xdr:twoCellAnchor>
  <xdr:twoCellAnchor>
    <xdr:from>
      <xdr:col>17</xdr:col>
      <xdr:colOff>223630</xdr:colOff>
      <xdr:row>26</xdr:row>
      <xdr:rowOff>12008</xdr:rowOff>
    </xdr:from>
    <xdr:to>
      <xdr:col>22</xdr:col>
      <xdr:colOff>140804</xdr:colOff>
      <xdr:row>27</xdr:row>
      <xdr:rowOff>110156</xdr:rowOff>
    </xdr:to>
    <xdr:sp macro="" textlink="">
      <xdr:nvSpPr>
        <xdr:cNvPr id="97" name="Rectangle: Rounded Corners 96">
          <a:extLst>
            <a:ext uri="{FF2B5EF4-FFF2-40B4-BE49-F238E27FC236}">
              <a16:creationId xmlns:a16="http://schemas.microsoft.com/office/drawing/2014/main" id="{6637957E-862C-92E5-8E69-9F303968FA90}"/>
            </a:ext>
          </a:extLst>
        </xdr:cNvPr>
        <xdr:cNvSpPr/>
      </xdr:nvSpPr>
      <xdr:spPr>
        <a:xfrm>
          <a:off x="10586830" y="4717358"/>
          <a:ext cx="2965174" cy="279123"/>
        </a:xfrm>
        <a:prstGeom prst="roundRect">
          <a:avLst/>
        </a:prstGeom>
        <a:gradFill>
          <a:gsLst>
            <a:gs pos="0">
              <a:schemeClr val="tx1">
                <a:lumMod val="85000"/>
                <a:lumOff val="15000"/>
                <a:alpha val="80000"/>
              </a:schemeClr>
            </a:gs>
            <a:gs pos="100000">
              <a:schemeClr val="bg2">
                <a:lumMod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t>TOP 5</a:t>
          </a:r>
          <a:r>
            <a:rPr lang="en-IN" sz="1400" b="1" baseline="0"/>
            <a:t> PRODUCT BRAND</a:t>
          </a:r>
          <a:endParaRPr lang="en-IN" sz="1400" b="1"/>
        </a:p>
      </xdr:txBody>
    </xdr:sp>
    <xdr:clientData/>
  </xdr:twoCellAnchor>
  <xdr:twoCellAnchor>
    <xdr:from>
      <xdr:col>0</xdr:col>
      <xdr:colOff>165653</xdr:colOff>
      <xdr:row>15</xdr:row>
      <xdr:rowOff>57977</xdr:rowOff>
    </xdr:from>
    <xdr:to>
      <xdr:col>7</xdr:col>
      <xdr:colOff>496957</xdr:colOff>
      <xdr:row>24</xdr:row>
      <xdr:rowOff>57978</xdr:rowOff>
    </xdr:to>
    <xdr:graphicFrame macro="">
      <xdr:nvGraphicFramePr>
        <xdr:cNvPr id="100" name="Chart 99">
          <a:extLst>
            <a:ext uri="{FF2B5EF4-FFF2-40B4-BE49-F238E27FC236}">
              <a16:creationId xmlns:a16="http://schemas.microsoft.com/office/drawing/2014/main" id="{94CC63D3-E0C5-43BF-A718-40FA0E8126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215348</xdr:colOff>
      <xdr:row>14</xdr:row>
      <xdr:rowOff>124240</xdr:rowOff>
    </xdr:from>
    <xdr:to>
      <xdr:col>16</xdr:col>
      <xdr:colOff>74543</xdr:colOff>
      <xdr:row>25</xdr:row>
      <xdr:rowOff>8283</xdr:rowOff>
    </xdr:to>
    <mc:AlternateContent xmlns:mc="http://schemas.openxmlformats.org/markup-compatibility/2006">
      <mc:Choice xmlns:cx1="http://schemas.microsoft.com/office/drawing/2015/9/8/chartex" Requires="cx1">
        <xdr:graphicFrame macro="">
          <xdr:nvGraphicFramePr>
            <xdr:cNvPr id="101" name="Chart 100">
              <a:extLst>
                <a:ext uri="{FF2B5EF4-FFF2-40B4-BE49-F238E27FC236}">
                  <a16:creationId xmlns:a16="http://schemas.microsoft.com/office/drawing/2014/main" id="{91168BD3-807C-4DB9-8CDE-97F04D414C4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5701748" y="2684560"/>
              <a:ext cx="4126395" cy="189572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430695</xdr:colOff>
      <xdr:row>14</xdr:row>
      <xdr:rowOff>41413</xdr:rowOff>
    </xdr:from>
    <xdr:to>
      <xdr:col>23</xdr:col>
      <xdr:colOff>391933</xdr:colOff>
      <xdr:row>24</xdr:row>
      <xdr:rowOff>82827</xdr:rowOff>
    </xdr:to>
    <xdr:graphicFrame macro="">
      <xdr:nvGraphicFramePr>
        <xdr:cNvPr id="102" name="Chart 101">
          <a:extLst>
            <a:ext uri="{FF2B5EF4-FFF2-40B4-BE49-F238E27FC236}">
              <a16:creationId xmlns:a16="http://schemas.microsoft.com/office/drawing/2014/main" id="{FEE14E4D-EFF6-490A-AD82-925654989C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xdr:col>
      <xdr:colOff>157370</xdr:colOff>
      <xdr:row>27</xdr:row>
      <xdr:rowOff>124237</xdr:rowOff>
    </xdr:from>
    <xdr:to>
      <xdr:col>7</xdr:col>
      <xdr:colOff>588065</xdr:colOff>
      <xdr:row>37</xdr:row>
      <xdr:rowOff>41413</xdr:rowOff>
    </xdr:to>
    <mc:AlternateContent xmlns:mc="http://schemas.openxmlformats.org/markup-compatibility/2006">
      <mc:Choice xmlns:cx2="http://schemas.microsoft.com/office/drawing/2015/10/21/chartex" Requires="cx2">
        <xdr:graphicFrame macro="">
          <xdr:nvGraphicFramePr>
            <xdr:cNvPr id="103" name="Chart 102">
              <a:extLst>
                <a:ext uri="{FF2B5EF4-FFF2-40B4-BE49-F238E27FC236}">
                  <a16:creationId xmlns:a16="http://schemas.microsoft.com/office/drawing/2014/main" id="{33DBE95A-D686-4047-A724-818A1F1997B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766970" y="5061997"/>
              <a:ext cx="4088295" cy="174597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215348</xdr:colOff>
      <xdr:row>27</xdr:row>
      <xdr:rowOff>140804</xdr:rowOff>
    </xdr:from>
    <xdr:to>
      <xdr:col>16</xdr:col>
      <xdr:colOff>248478</xdr:colOff>
      <xdr:row>37</xdr:row>
      <xdr:rowOff>41414</xdr:rowOff>
    </xdr:to>
    <xdr:graphicFrame macro="">
      <xdr:nvGraphicFramePr>
        <xdr:cNvPr id="104" name="Chart 103">
          <a:extLst>
            <a:ext uri="{FF2B5EF4-FFF2-40B4-BE49-F238E27FC236}">
              <a16:creationId xmlns:a16="http://schemas.microsoft.com/office/drawing/2014/main" id="{52BB707A-B255-4A24-8473-58165394DA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17</xdr:col>
      <xdr:colOff>342900</xdr:colOff>
      <xdr:row>26</xdr:row>
      <xdr:rowOff>66675</xdr:rowOff>
    </xdr:from>
    <xdr:to>
      <xdr:col>23</xdr:col>
      <xdr:colOff>552450</xdr:colOff>
      <xdr:row>37</xdr:row>
      <xdr:rowOff>57150</xdr:rowOff>
    </xdr:to>
    <xdr:graphicFrame macro="">
      <xdr:nvGraphicFramePr>
        <xdr:cNvPr id="105" name="Chart 104">
          <a:extLst>
            <a:ext uri="{FF2B5EF4-FFF2-40B4-BE49-F238E27FC236}">
              <a16:creationId xmlns:a16="http://schemas.microsoft.com/office/drawing/2014/main" id="{6C9A4716-36F2-4BFE-86F0-B32C4E0DE2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0</xdr:col>
      <xdr:colOff>306457</xdr:colOff>
      <xdr:row>5</xdr:row>
      <xdr:rowOff>120927</xdr:rowOff>
    </xdr:from>
    <xdr:to>
      <xdr:col>2</xdr:col>
      <xdr:colOff>552450</xdr:colOff>
      <xdr:row>12</xdr:row>
      <xdr:rowOff>133350</xdr:rowOff>
    </xdr:to>
    <mc:AlternateContent xmlns:mc="http://schemas.openxmlformats.org/markup-compatibility/2006" xmlns:a14="http://schemas.microsoft.com/office/drawing/2010/main">
      <mc:Choice Requires="a14">
        <xdr:graphicFrame macro="">
          <xdr:nvGraphicFramePr>
            <xdr:cNvPr id="106" name="Category 1">
              <a:extLst>
                <a:ext uri="{FF2B5EF4-FFF2-40B4-BE49-F238E27FC236}">
                  <a16:creationId xmlns:a16="http://schemas.microsoft.com/office/drawing/2014/main" id="{F5523A9E-92CF-4015-B7DB-8C9FAA28BF90}"/>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306457" y="1025802"/>
              <a:ext cx="1465193" cy="12792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601732</xdr:colOff>
      <xdr:row>5</xdr:row>
      <xdr:rowOff>47625</xdr:rowOff>
    </xdr:from>
    <xdr:to>
      <xdr:col>4</xdr:col>
      <xdr:colOff>581025</xdr:colOff>
      <xdr:row>12</xdr:row>
      <xdr:rowOff>133350</xdr:rowOff>
    </xdr:to>
    <mc:AlternateContent xmlns:mc="http://schemas.openxmlformats.org/markup-compatibility/2006" xmlns:a14="http://schemas.microsoft.com/office/drawing/2010/main">
      <mc:Choice Requires="a14">
        <xdr:graphicFrame macro="">
          <xdr:nvGraphicFramePr>
            <xdr:cNvPr id="107" name="Region 1">
              <a:extLst>
                <a:ext uri="{FF2B5EF4-FFF2-40B4-BE49-F238E27FC236}">
                  <a16:creationId xmlns:a16="http://schemas.microsoft.com/office/drawing/2014/main" id="{A95F739C-2449-4D16-8EE8-33775340ED46}"/>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820932" y="952500"/>
              <a:ext cx="1065143" cy="1352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171450</xdr:colOff>
      <xdr:row>5</xdr:row>
      <xdr:rowOff>57149</xdr:rowOff>
    </xdr:from>
    <xdr:to>
      <xdr:col>7</xdr:col>
      <xdr:colOff>438150</xdr:colOff>
      <xdr:row>12</xdr:row>
      <xdr:rowOff>95249</xdr:rowOff>
    </xdr:to>
    <mc:AlternateContent xmlns:mc="http://schemas.openxmlformats.org/markup-compatibility/2006" xmlns:a14="http://schemas.microsoft.com/office/drawing/2010/main">
      <mc:Choice Requires="a14">
        <xdr:graphicFrame macro="">
          <xdr:nvGraphicFramePr>
            <xdr:cNvPr id="108" name="Years  1">
              <a:extLst>
                <a:ext uri="{FF2B5EF4-FFF2-40B4-BE49-F238E27FC236}">
                  <a16:creationId xmlns:a16="http://schemas.microsoft.com/office/drawing/2014/main" id="{14B72DDD-4BF4-4517-9A91-A24467FD837A}"/>
                </a:ext>
              </a:extLst>
            </xdr:cNvPr>
            <xdr:cNvGraphicFramePr/>
          </xdr:nvGraphicFramePr>
          <xdr:xfrm>
            <a:off x="0" y="0"/>
            <a:ext cx="0" cy="0"/>
          </xdr:xfrm>
          <a:graphic>
            <a:graphicData uri="http://schemas.microsoft.com/office/drawing/2010/slicer">
              <sle:slicer xmlns:sle="http://schemas.microsoft.com/office/drawing/2010/slicer" name="Years  1"/>
            </a:graphicData>
          </a:graphic>
        </xdr:graphicFrame>
      </mc:Choice>
      <mc:Fallback xmlns="">
        <xdr:sp macro="" textlink="">
          <xdr:nvSpPr>
            <xdr:cNvPr id="0" name=""/>
            <xdr:cNvSpPr>
              <a:spLocks noTextEdit="1"/>
            </xdr:cNvSpPr>
          </xdr:nvSpPr>
          <xdr:spPr>
            <a:xfrm>
              <a:off x="3219450" y="962024"/>
              <a:ext cx="1485900" cy="13049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266701</xdr:colOff>
      <xdr:row>3</xdr:row>
      <xdr:rowOff>152399</xdr:rowOff>
    </xdr:from>
    <xdr:to>
      <xdr:col>2</xdr:col>
      <xdr:colOff>571501</xdr:colOff>
      <xdr:row>5</xdr:row>
      <xdr:rowOff>114300</xdr:rowOff>
    </xdr:to>
    <xdr:sp macro="" textlink="">
      <xdr:nvSpPr>
        <xdr:cNvPr id="109" name="Rectangle: Rounded Corners 108">
          <a:extLst>
            <a:ext uri="{FF2B5EF4-FFF2-40B4-BE49-F238E27FC236}">
              <a16:creationId xmlns:a16="http://schemas.microsoft.com/office/drawing/2014/main" id="{945BE11A-B66A-9383-E680-C1CC0D295F75}"/>
            </a:ext>
          </a:extLst>
        </xdr:cNvPr>
        <xdr:cNvSpPr/>
      </xdr:nvSpPr>
      <xdr:spPr>
        <a:xfrm>
          <a:off x="266701" y="695324"/>
          <a:ext cx="1524000" cy="323851"/>
        </a:xfrm>
        <a:prstGeom prst="roundRect">
          <a:avLst/>
        </a:prstGeom>
        <a:gradFill>
          <a:gsLst>
            <a:gs pos="0">
              <a:schemeClr val="tx1">
                <a:lumMod val="85000"/>
                <a:lumOff val="15000"/>
                <a:alpha val="80000"/>
              </a:schemeClr>
            </a:gs>
            <a:gs pos="100000">
              <a:schemeClr val="bg2">
                <a:lumMod val="7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t>FILTERS</a:t>
          </a:r>
        </a:p>
      </xdr:txBody>
    </xdr:sp>
    <xdr:clientData/>
  </xdr:twoCellAnchor>
  <xdr:twoCellAnchor editAs="oneCell">
    <xdr:from>
      <xdr:col>5</xdr:col>
      <xdr:colOff>361950</xdr:colOff>
      <xdr:row>0</xdr:row>
      <xdr:rowOff>104774</xdr:rowOff>
    </xdr:from>
    <xdr:to>
      <xdr:col>6</xdr:col>
      <xdr:colOff>276226</xdr:colOff>
      <xdr:row>3</xdr:row>
      <xdr:rowOff>85725</xdr:rowOff>
    </xdr:to>
    <xdr:pic>
      <xdr:nvPicPr>
        <xdr:cNvPr id="6" name="Graphic 5" descr="Bar graph with upward trend with solid fill">
          <a:extLst>
            <a:ext uri="{FF2B5EF4-FFF2-40B4-BE49-F238E27FC236}">
              <a16:creationId xmlns:a16="http://schemas.microsoft.com/office/drawing/2014/main" id="{5B6886D7-C300-AFF0-4445-0D91B5BFFB69}"/>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3409950" y="104774"/>
          <a:ext cx="523876" cy="523876"/>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19</xdr:col>
          <xdr:colOff>228600</xdr:colOff>
          <xdr:row>10</xdr:row>
          <xdr:rowOff>68580</xdr:rowOff>
        </xdr:from>
        <xdr:to>
          <xdr:col>20</xdr:col>
          <xdr:colOff>464820</xdr:colOff>
          <xdr:row>11</xdr:row>
          <xdr:rowOff>106680</xdr:rowOff>
        </xdr:to>
        <xdr:pic>
          <xdr:nvPicPr>
            <xdr:cNvPr id="3282" name="Picture 37">
              <a:extLst>
                <a:ext uri="{FF2B5EF4-FFF2-40B4-BE49-F238E27FC236}">
                  <a16:creationId xmlns:a16="http://schemas.microsoft.com/office/drawing/2014/main" id="{3FFB9A4B-01E7-D330-4649-40B86709298B}"/>
                </a:ext>
              </a:extLst>
            </xdr:cNvPr>
            <xdr:cNvPicPr>
              <a:picLocks noChangeAspect="1" noChangeArrowheads="1"/>
              <a:extLst>
                <a:ext uri="{84589F7E-364E-4C9E-8A38-B11213B215E9}">
                  <a14:cameraTool cellRange="KPI!$B$8" spid="_x0000_s3804"/>
                </a:ext>
              </a:extLst>
            </xdr:cNvPicPr>
          </xdr:nvPicPr>
          <xdr:blipFill>
            <a:blip xmlns:r="http://schemas.openxmlformats.org/officeDocument/2006/relationships" r:embed="rId5"/>
            <a:srcRect/>
            <a:stretch>
              <a:fillRect/>
            </a:stretch>
          </xdr:blipFill>
          <xdr:spPr bwMode="auto">
            <a:xfrm>
              <a:off x="11811000" y="1897380"/>
              <a:ext cx="845820" cy="22098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457200</xdr:colOff>
          <xdr:row>10</xdr:row>
          <xdr:rowOff>22860</xdr:rowOff>
        </xdr:from>
        <xdr:to>
          <xdr:col>24</xdr:col>
          <xdr:colOff>571500</xdr:colOff>
          <xdr:row>11</xdr:row>
          <xdr:rowOff>60960</xdr:rowOff>
        </xdr:to>
        <xdr:pic>
          <xdr:nvPicPr>
            <xdr:cNvPr id="3283" name="Picture 40">
              <a:extLst>
                <a:ext uri="{FF2B5EF4-FFF2-40B4-BE49-F238E27FC236}">
                  <a16:creationId xmlns:a16="http://schemas.microsoft.com/office/drawing/2014/main" id="{0764EAED-7718-8CF2-8821-41A2BB3F5077}"/>
                </a:ext>
              </a:extLst>
            </xdr:cNvPr>
            <xdr:cNvPicPr>
              <a:picLocks noChangeAspect="1" noChangeArrowheads="1"/>
              <a:extLst>
                <a:ext uri="{84589F7E-364E-4C9E-8A38-B11213B215E9}">
                  <a14:cameraTool cellRange="KPI!$E$8" spid="_x0000_s3805"/>
                </a:ext>
              </a:extLst>
            </xdr:cNvPicPr>
          </xdr:nvPicPr>
          <xdr:blipFill>
            <a:blip xmlns:r="http://schemas.openxmlformats.org/officeDocument/2006/relationships" r:embed="rId7"/>
            <a:srcRect/>
            <a:stretch>
              <a:fillRect/>
            </a:stretch>
          </xdr:blipFill>
          <xdr:spPr bwMode="auto">
            <a:xfrm>
              <a:off x="14478000" y="1851660"/>
              <a:ext cx="723900" cy="22098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3</xdr:col>
      <xdr:colOff>175260</xdr:colOff>
      <xdr:row>0</xdr:row>
      <xdr:rowOff>15240</xdr:rowOff>
    </xdr:from>
    <xdr:to>
      <xdr:col>10</xdr:col>
      <xdr:colOff>480060</xdr:colOff>
      <xdr:row>15</xdr:row>
      <xdr:rowOff>15240</xdr:rowOff>
    </xdr:to>
    <xdr:graphicFrame macro="">
      <xdr:nvGraphicFramePr>
        <xdr:cNvPr id="2" name="Chart 1">
          <a:extLst>
            <a:ext uri="{FF2B5EF4-FFF2-40B4-BE49-F238E27FC236}">
              <a16:creationId xmlns:a16="http://schemas.microsoft.com/office/drawing/2014/main" id="{B924E2BE-A9EE-069A-E664-91D29B81CF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137160</xdr:colOff>
      <xdr:row>15</xdr:row>
      <xdr:rowOff>57150</xdr:rowOff>
    </xdr:from>
    <xdr:to>
      <xdr:col>11</xdr:col>
      <xdr:colOff>441960</xdr:colOff>
      <xdr:row>30</xdr:row>
      <xdr:rowOff>57150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E2C9C832-87C0-62E0-1D10-CC1DB6C2516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3185160" y="2800350"/>
              <a:ext cx="481584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274320</xdr:colOff>
      <xdr:row>31</xdr:row>
      <xdr:rowOff>0</xdr:rowOff>
    </xdr:from>
    <xdr:to>
      <xdr:col>8</xdr:col>
      <xdr:colOff>594360</xdr:colOff>
      <xdr:row>44</xdr:row>
      <xdr:rowOff>49530</xdr:rowOff>
    </xdr:to>
    <xdr:graphicFrame macro="">
      <xdr:nvGraphicFramePr>
        <xdr:cNvPr id="4" name="Chart 3">
          <a:extLst>
            <a:ext uri="{FF2B5EF4-FFF2-40B4-BE49-F238E27FC236}">
              <a16:creationId xmlns:a16="http://schemas.microsoft.com/office/drawing/2014/main" id="{F5F526EC-CD35-B430-96C2-334EB7192C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114300</xdr:colOff>
      <xdr:row>44</xdr:row>
      <xdr:rowOff>148590</xdr:rowOff>
    </xdr:from>
    <xdr:to>
      <xdr:col>11</xdr:col>
      <xdr:colOff>419100</xdr:colOff>
      <xdr:row>59</xdr:row>
      <xdr:rowOff>148590</xdr:rowOff>
    </xdr:to>
    <xdr:graphicFrame macro="">
      <xdr:nvGraphicFramePr>
        <xdr:cNvPr id="7" name="Chart 6">
          <a:extLst>
            <a:ext uri="{FF2B5EF4-FFF2-40B4-BE49-F238E27FC236}">
              <a16:creationId xmlns:a16="http://schemas.microsoft.com/office/drawing/2014/main" id="{528D1886-09AD-27F7-9A67-29EAD268E3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213360</xdr:colOff>
      <xdr:row>61</xdr:row>
      <xdr:rowOff>156210</xdr:rowOff>
    </xdr:from>
    <xdr:to>
      <xdr:col>9</xdr:col>
      <xdr:colOff>335280</xdr:colOff>
      <xdr:row>76</xdr:row>
      <xdr:rowOff>156210</xdr:rowOff>
    </xdr:to>
    <xdr:graphicFrame macro="">
      <xdr:nvGraphicFramePr>
        <xdr:cNvPr id="8" name="Chart 7">
          <a:extLst>
            <a:ext uri="{FF2B5EF4-FFF2-40B4-BE49-F238E27FC236}">
              <a16:creationId xmlns:a16="http://schemas.microsoft.com/office/drawing/2014/main" id="{6FF63C42-BC83-70C0-DDC1-A80F1204E2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38100</xdr:colOff>
      <xdr:row>60</xdr:row>
      <xdr:rowOff>26670</xdr:rowOff>
    </xdr:from>
    <xdr:to>
      <xdr:col>18</xdr:col>
      <xdr:colOff>160020</xdr:colOff>
      <xdr:row>75</xdr:row>
      <xdr:rowOff>26670</xdr:rowOff>
    </xdr:to>
    <xdr:graphicFrame macro="">
      <xdr:nvGraphicFramePr>
        <xdr:cNvPr id="9" name="Chart 8">
          <a:extLst>
            <a:ext uri="{FF2B5EF4-FFF2-40B4-BE49-F238E27FC236}">
              <a16:creationId xmlns:a16="http://schemas.microsoft.com/office/drawing/2014/main" id="{883613D0-05A9-C45D-7FBC-CF38CCEDD2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495300</xdr:colOff>
      <xdr:row>44</xdr:row>
      <xdr:rowOff>163830</xdr:rowOff>
    </xdr:from>
    <xdr:to>
      <xdr:col>17</xdr:col>
      <xdr:colOff>434340</xdr:colOff>
      <xdr:row>59</xdr:row>
      <xdr:rowOff>163830</xdr:rowOff>
    </xdr:to>
    <mc:AlternateContent xmlns:mc="http://schemas.openxmlformats.org/markup-compatibility/2006">
      <mc:Choice xmlns:cx2="http://schemas.microsoft.com/office/drawing/2015/10/21/chartex" Requires="cx2">
        <xdr:graphicFrame macro="">
          <xdr:nvGraphicFramePr>
            <xdr:cNvPr id="5" name="Chart 4">
              <a:extLst>
                <a:ext uri="{FF2B5EF4-FFF2-40B4-BE49-F238E27FC236}">
                  <a16:creationId xmlns:a16="http://schemas.microsoft.com/office/drawing/2014/main" id="{6684C791-A087-EA1C-B92C-DEC59E7D2C5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8054340" y="821055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13</xdr:col>
      <xdr:colOff>678180</xdr:colOff>
      <xdr:row>25</xdr:row>
      <xdr:rowOff>114301</xdr:rowOff>
    </xdr:from>
    <xdr:to>
      <xdr:col>16</xdr:col>
      <xdr:colOff>68580</xdr:colOff>
      <xdr:row>32</xdr:row>
      <xdr:rowOff>114301</xdr:rowOff>
    </xdr:to>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60628D83-34AE-8024-2541-284F2908726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822180" y="4686301"/>
              <a:ext cx="1828800" cy="1280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0</xdr:colOff>
      <xdr:row>16</xdr:row>
      <xdr:rowOff>15241</xdr:rowOff>
    </xdr:from>
    <xdr:to>
      <xdr:col>14</xdr:col>
      <xdr:colOff>243840</xdr:colOff>
      <xdr:row>24</xdr:row>
      <xdr:rowOff>7621</xdr:rowOff>
    </xdr:to>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992913FF-EE2C-7A63-8039-3179B25F677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351520" y="2941321"/>
              <a:ext cx="1828800" cy="1455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632460</xdr:colOff>
      <xdr:row>16</xdr:row>
      <xdr:rowOff>38101</xdr:rowOff>
    </xdr:from>
    <xdr:to>
      <xdr:col>17</xdr:col>
      <xdr:colOff>205740</xdr:colOff>
      <xdr:row>23</xdr:row>
      <xdr:rowOff>1</xdr:rowOff>
    </xdr:to>
    <mc:AlternateContent xmlns:mc="http://schemas.openxmlformats.org/markup-compatibility/2006" xmlns:a14="http://schemas.microsoft.com/office/drawing/2010/main">
      <mc:Choice Requires="a14">
        <xdr:graphicFrame macro="">
          <xdr:nvGraphicFramePr>
            <xdr:cNvPr id="11" name="Years ">
              <a:extLst>
                <a:ext uri="{FF2B5EF4-FFF2-40B4-BE49-F238E27FC236}">
                  <a16:creationId xmlns:a16="http://schemas.microsoft.com/office/drawing/2014/main" id="{62C73B1A-C4AF-9B45-C288-83E1C6788A7B}"/>
                </a:ext>
              </a:extLst>
            </xdr:cNvPr>
            <xdr:cNvGraphicFramePr/>
          </xdr:nvGraphicFramePr>
          <xdr:xfrm>
            <a:off x="0" y="0"/>
            <a:ext cx="0" cy="0"/>
          </xdr:xfrm>
          <a:graphic>
            <a:graphicData uri="http://schemas.microsoft.com/office/drawing/2010/slicer">
              <sle:slicer xmlns:sle="http://schemas.microsoft.com/office/drawing/2010/slicer" name="Years "/>
            </a:graphicData>
          </a:graphic>
        </xdr:graphicFrame>
      </mc:Choice>
      <mc:Fallback xmlns="">
        <xdr:sp macro="" textlink="">
          <xdr:nvSpPr>
            <xdr:cNvPr id="0" name=""/>
            <xdr:cNvSpPr>
              <a:spLocks noTextEdit="1"/>
            </xdr:cNvSpPr>
          </xdr:nvSpPr>
          <xdr:spPr>
            <a:xfrm>
              <a:off x="10568940" y="2964181"/>
              <a:ext cx="1828800" cy="1242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wapnil" refreshedDate="46067.845445601852" createdVersion="8" refreshedVersion="8" minRefreshableVersion="3" recordCount="100" xr:uid="{B0457FF9-A1F0-48FC-BADD-873E7B9BB06D}">
  <cacheSource type="worksheet">
    <worksheetSource name="Table1"/>
  </cacheSource>
  <cacheFields count="13">
    <cacheField name="Order Date" numFmtId="14">
      <sharedItems containsSemiMixedTypes="0" containsNonDate="0" containsDate="1" containsString="0" minDate="2022-01-14T00:00:00" maxDate="2025-01-01T00:00:00" count="99">
        <d v="2024-12-31T00:00:00"/>
        <d v="2022-11-27T00:00:00"/>
        <d v="2022-05-11T00:00:00"/>
        <d v="2024-03-16T00:00:00"/>
        <d v="2022-09-10T00:00:00"/>
        <d v="2023-12-01T00:00:00"/>
        <d v="2023-10-09T00:00:00"/>
        <d v="2022-01-14T00:00:00"/>
        <d v="2022-04-02T00:00:00"/>
        <d v="2024-10-22T00:00:00"/>
        <d v="2023-12-04T00:00:00"/>
        <d v="2022-09-27T00:00:00"/>
        <d v="2023-12-21T00:00:00"/>
        <d v="2024-02-03T00:00:00"/>
        <d v="2023-10-10T00:00:00"/>
        <d v="2022-10-16T00:00:00"/>
        <d v="2022-05-15T00:00:00"/>
        <d v="2023-02-11T00:00:00"/>
        <d v="2023-12-27T00:00:00"/>
        <d v="2023-10-05T00:00:00"/>
        <d v="2024-03-05T00:00:00"/>
        <d v="2023-07-18T00:00:00"/>
        <d v="2023-06-25T00:00:00"/>
        <d v="2023-11-13T00:00:00"/>
        <d v="2022-07-09T00:00:00"/>
        <d v="2023-12-11T00:00:00"/>
        <d v="2023-03-18T00:00:00"/>
        <d v="2024-08-09T00:00:00"/>
        <d v="2024-05-04T00:00:00"/>
        <d v="2022-09-04T00:00:00"/>
        <d v="2022-10-21T00:00:00"/>
        <d v="2024-01-22T00:00:00"/>
        <d v="2023-04-09T00:00:00"/>
        <d v="2023-02-07T00:00:00"/>
        <d v="2023-05-04T00:00:00"/>
        <d v="2023-04-18T00:00:00"/>
        <d v="2022-12-12T00:00:00"/>
        <d v="2022-09-11T00:00:00"/>
        <d v="2024-03-26T00:00:00"/>
        <d v="2023-09-20T00:00:00"/>
        <d v="2023-05-25T00:00:00"/>
        <d v="2022-12-04T00:00:00"/>
        <d v="2022-06-10T00:00:00"/>
        <d v="2023-02-05T00:00:00"/>
        <d v="2024-01-20T00:00:00"/>
        <d v="2022-01-27T00:00:00"/>
        <d v="2023-03-29T00:00:00"/>
        <d v="2022-01-17T00:00:00"/>
        <d v="2024-11-26T00:00:00"/>
        <d v="2024-09-19T00:00:00"/>
        <d v="2023-07-20T00:00:00"/>
        <d v="2024-05-03T00:00:00"/>
        <d v="2022-09-03T00:00:00"/>
        <d v="2024-07-09T00:00:00"/>
        <d v="2022-11-17T00:00:00"/>
        <d v="2023-12-28T00:00:00"/>
        <d v="2022-05-30T00:00:00"/>
        <d v="2024-04-17T00:00:00"/>
        <d v="2024-09-30T00:00:00"/>
        <d v="2024-06-02T00:00:00"/>
        <d v="2022-09-26T00:00:00"/>
        <d v="2024-12-17T00:00:00"/>
        <d v="2024-10-09T00:00:00"/>
        <d v="2023-07-14T00:00:00"/>
        <d v="2023-12-05T00:00:00"/>
        <d v="2022-06-03T00:00:00"/>
        <d v="2024-12-28T00:00:00"/>
        <d v="2022-08-06T00:00:00"/>
        <d v="2023-06-06T00:00:00"/>
        <d v="2024-02-01T00:00:00"/>
        <d v="2023-05-31T00:00:00"/>
        <d v="2024-06-14T00:00:00"/>
        <d v="2024-08-14T00:00:00"/>
        <d v="2023-02-01T00:00:00"/>
        <d v="2024-04-28T00:00:00"/>
        <d v="2024-04-05T00:00:00"/>
        <d v="2024-01-31T00:00:00"/>
        <d v="2024-01-09T00:00:00"/>
        <d v="2022-04-06T00:00:00"/>
        <d v="2024-05-22T00:00:00"/>
        <d v="2023-12-30T00:00:00"/>
        <d v="2022-03-17T00:00:00"/>
        <d v="2022-05-24T00:00:00"/>
        <d v="2024-06-09T00:00:00"/>
        <d v="2024-12-01T00:00:00"/>
        <d v="2023-10-20T00:00:00"/>
        <d v="2022-12-05T00:00:00"/>
        <d v="2022-08-05T00:00:00"/>
        <d v="2023-03-21T00:00:00"/>
        <d v="2022-02-08T00:00:00"/>
        <d v="2023-04-01T00:00:00"/>
        <d v="2022-12-14T00:00:00"/>
        <d v="2022-05-14T00:00:00"/>
        <d v="2022-02-16T00:00:00"/>
        <d v="2024-08-28T00:00:00"/>
        <d v="2023-10-30T00:00:00"/>
        <d v="2023-06-24T00:00:00"/>
        <d v="2023-05-17T00:00:00"/>
        <d v="2023-04-06T00:00:00"/>
      </sharedItems>
      <fieldGroup par="10"/>
    </cacheField>
    <cacheField name="Product Brand" numFmtId="0">
      <sharedItems count="15">
        <s v="Epson"/>
        <s v="Logitech"/>
        <s v="Apple"/>
        <s v="Dell"/>
        <s v="Sony"/>
        <s v="JBL"/>
        <s v="LG"/>
        <s v="Lenovo"/>
        <s v="Samsung"/>
        <s v="HP"/>
        <s v="Nikon"/>
        <s v="Asus"/>
        <s v="Boat"/>
        <s v="Canon"/>
        <s v="OnePlus"/>
      </sharedItems>
    </cacheField>
    <cacheField name="Product Name" numFmtId="0">
      <sharedItems count="10">
        <s v="Printer"/>
        <s v="Mouse"/>
        <s v="Tablet"/>
        <s v="Camera"/>
        <s v="Headphones"/>
        <s v="Smartwatch"/>
        <s v="Monitor"/>
        <s v="Smartphone"/>
        <s v="Keyboard"/>
        <s v="Laptop"/>
      </sharedItems>
    </cacheField>
    <cacheField name="Category" numFmtId="0">
      <sharedItems count="3">
        <s v="Office"/>
        <s v="Accessories"/>
        <s v="Electronics"/>
      </sharedItems>
    </cacheField>
    <cacheField name="Region" numFmtId="0">
      <sharedItems count="4">
        <s v="North"/>
        <s v="East"/>
        <s v="South"/>
        <s v="West"/>
      </sharedItems>
    </cacheField>
    <cacheField name="Quantity" numFmtId="0">
      <sharedItems containsSemiMixedTypes="0" containsString="0" containsNumber="1" containsInteger="1" minValue="1" maxValue="9"/>
    </cacheField>
    <cacheField name="Sales" numFmtId="0">
      <sharedItems containsSemiMixedTypes="0" containsString="0" containsNumber="1" containsInteger="1" minValue="111" maxValue="10773"/>
    </cacheField>
    <cacheField name="Profit" numFmtId="0">
      <sharedItems containsSemiMixedTypes="0" containsString="0" containsNumber="1" minValue="19.329999999999998" maxValue="2166.17"/>
    </cacheField>
    <cacheField name="Months (Order Date)" numFmtId="0" databaseField="0">
      <fieldGroup base="0">
        <rangePr groupBy="months" startDate="2022-01-14T00:00:00" endDate="2025-01-01T00:00:00"/>
        <groupItems count="14">
          <s v="&lt;14-01-2022"/>
          <s v="Jan"/>
          <s v="Feb"/>
          <s v="Mar"/>
          <s v="Apr"/>
          <s v="May"/>
          <s v="Jun"/>
          <s v="Jul"/>
          <s v="Aug"/>
          <s v="Sep"/>
          <s v="Oct"/>
          <s v="Nov"/>
          <s v="Dec"/>
          <s v="&gt;01-01-2025"/>
        </groupItems>
      </fieldGroup>
    </cacheField>
    <cacheField name="Quarters (Order Date)" numFmtId="0" databaseField="0">
      <fieldGroup base="0">
        <rangePr groupBy="quarters" startDate="2022-01-14T00:00:00" endDate="2025-01-01T00:00:00"/>
        <groupItems count="6">
          <s v="&lt;14-01-2022"/>
          <s v="Qtr1"/>
          <s v="Qtr2"/>
          <s v="Qtr3"/>
          <s v="Qtr4"/>
          <s v="&gt;01-01-2025"/>
        </groupItems>
      </fieldGroup>
    </cacheField>
    <cacheField name="Years (Order Date)" numFmtId="0" databaseField="0">
      <fieldGroup base="0">
        <rangePr groupBy="years" startDate="2022-01-14T00:00:00" endDate="2025-01-01T00:00:00"/>
        <groupItems count="6">
          <s v="&lt;14-01-2022"/>
          <s v="2022"/>
          <s v="2023"/>
          <s v="2024"/>
          <s v="2025"/>
          <s v="&gt;01-01-2025"/>
        </groupItems>
      </fieldGroup>
    </cacheField>
    <cacheField name="Profit margin" numFmtId="0" formula="Profit/Sales" databaseField="0"/>
    <cacheField name="Field1" numFmtId="0" formula="Profit/Sales" databaseField="0"/>
  </cacheFields>
  <extLst>
    <ext xmlns:x14="http://schemas.microsoft.com/office/spreadsheetml/2009/9/main" uri="{725AE2AE-9491-48be-B2B4-4EB974FC3084}">
      <x14:pivotCacheDefinition pivotCacheId="6377091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x v="0"/>
    <x v="0"/>
    <x v="0"/>
    <n v="4"/>
    <n v="3640"/>
    <n v="348.93"/>
  </r>
  <r>
    <x v="1"/>
    <x v="1"/>
    <x v="1"/>
    <x v="1"/>
    <x v="1"/>
    <n v="7"/>
    <n v="1197"/>
    <n v="106.53"/>
  </r>
  <r>
    <x v="2"/>
    <x v="2"/>
    <x v="2"/>
    <x v="2"/>
    <x v="2"/>
    <n v="5"/>
    <n v="5865"/>
    <n v="502.73"/>
  </r>
  <r>
    <x v="3"/>
    <x v="3"/>
    <x v="1"/>
    <x v="1"/>
    <x v="2"/>
    <n v="2"/>
    <n v="786"/>
    <n v="202.87"/>
  </r>
  <r>
    <x v="4"/>
    <x v="1"/>
    <x v="1"/>
    <x v="1"/>
    <x v="3"/>
    <n v="1"/>
    <n v="509"/>
    <n v="103.28"/>
  </r>
  <r>
    <x v="5"/>
    <x v="4"/>
    <x v="3"/>
    <x v="2"/>
    <x v="3"/>
    <n v="1"/>
    <n v="524"/>
    <n v="106.35"/>
  </r>
  <r>
    <x v="6"/>
    <x v="5"/>
    <x v="4"/>
    <x v="1"/>
    <x v="0"/>
    <n v="7"/>
    <n v="6167"/>
    <n v="1027.98"/>
  </r>
  <r>
    <x v="7"/>
    <x v="4"/>
    <x v="3"/>
    <x v="2"/>
    <x v="2"/>
    <n v="7"/>
    <n v="3059"/>
    <n v="873.5"/>
  </r>
  <r>
    <x v="8"/>
    <x v="2"/>
    <x v="5"/>
    <x v="2"/>
    <x v="1"/>
    <n v="9"/>
    <n v="5526"/>
    <n v="595.28"/>
  </r>
  <r>
    <x v="9"/>
    <x v="0"/>
    <x v="0"/>
    <x v="0"/>
    <x v="2"/>
    <n v="8"/>
    <n v="672"/>
    <n v="186.37"/>
  </r>
  <r>
    <x v="10"/>
    <x v="6"/>
    <x v="6"/>
    <x v="1"/>
    <x v="2"/>
    <n v="6"/>
    <n v="7074"/>
    <n v="1357.68"/>
  </r>
  <r>
    <x v="11"/>
    <x v="2"/>
    <x v="5"/>
    <x v="2"/>
    <x v="1"/>
    <n v="2"/>
    <n v="502"/>
    <n v="137.4"/>
  </r>
  <r>
    <x v="12"/>
    <x v="7"/>
    <x v="2"/>
    <x v="2"/>
    <x v="0"/>
    <n v="7"/>
    <n v="7462"/>
    <n v="2166.17"/>
  </r>
  <r>
    <x v="13"/>
    <x v="8"/>
    <x v="7"/>
    <x v="2"/>
    <x v="3"/>
    <n v="5"/>
    <n v="4205"/>
    <n v="585.29"/>
  </r>
  <r>
    <x v="14"/>
    <x v="4"/>
    <x v="3"/>
    <x v="2"/>
    <x v="3"/>
    <n v="1"/>
    <n v="570"/>
    <n v="138.54"/>
  </r>
  <r>
    <x v="15"/>
    <x v="4"/>
    <x v="4"/>
    <x v="1"/>
    <x v="1"/>
    <n v="1"/>
    <n v="441"/>
    <n v="102.42"/>
  </r>
  <r>
    <x v="16"/>
    <x v="1"/>
    <x v="1"/>
    <x v="1"/>
    <x v="0"/>
    <n v="7"/>
    <n v="7469"/>
    <n v="589.80999999999995"/>
  </r>
  <r>
    <x v="17"/>
    <x v="2"/>
    <x v="2"/>
    <x v="2"/>
    <x v="2"/>
    <n v="2"/>
    <n v="2212"/>
    <n v="145.75"/>
  </r>
  <r>
    <x v="18"/>
    <x v="8"/>
    <x v="2"/>
    <x v="2"/>
    <x v="1"/>
    <n v="5"/>
    <n v="740"/>
    <n v="146.38999999999999"/>
  </r>
  <r>
    <x v="19"/>
    <x v="4"/>
    <x v="4"/>
    <x v="1"/>
    <x v="0"/>
    <n v="1"/>
    <n v="662"/>
    <n v="193.92"/>
  </r>
  <r>
    <x v="20"/>
    <x v="9"/>
    <x v="1"/>
    <x v="1"/>
    <x v="0"/>
    <n v="7"/>
    <n v="5712"/>
    <n v="651.27"/>
  </r>
  <r>
    <x v="21"/>
    <x v="8"/>
    <x v="5"/>
    <x v="2"/>
    <x v="0"/>
    <n v="3"/>
    <n v="2739"/>
    <n v="572.73"/>
  </r>
  <r>
    <x v="22"/>
    <x v="9"/>
    <x v="8"/>
    <x v="1"/>
    <x v="3"/>
    <n v="5"/>
    <n v="1400"/>
    <n v="213.63"/>
  </r>
  <r>
    <x v="23"/>
    <x v="9"/>
    <x v="0"/>
    <x v="0"/>
    <x v="0"/>
    <n v="3"/>
    <n v="3477"/>
    <n v="939.2"/>
  </r>
  <r>
    <x v="24"/>
    <x v="10"/>
    <x v="3"/>
    <x v="2"/>
    <x v="0"/>
    <n v="5"/>
    <n v="3475"/>
    <n v="570.36"/>
  </r>
  <r>
    <x v="25"/>
    <x v="11"/>
    <x v="9"/>
    <x v="2"/>
    <x v="3"/>
    <n v="9"/>
    <n v="6138"/>
    <n v="1562.14"/>
  </r>
  <r>
    <x v="26"/>
    <x v="10"/>
    <x v="3"/>
    <x v="2"/>
    <x v="3"/>
    <n v="5"/>
    <n v="3665"/>
    <n v="406.93"/>
  </r>
  <r>
    <x v="27"/>
    <x v="0"/>
    <x v="0"/>
    <x v="0"/>
    <x v="0"/>
    <n v="2"/>
    <n v="2372"/>
    <n v="206.42"/>
  </r>
  <r>
    <x v="28"/>
    <x v="7"/>
    <x v="9"/>
    <x v="2"/>
    <x v="0"/>
    <n v="2"/>
    <n v="1382"/>
    <n v="211.11"/>
  </r>
  <r>
    <x v="29"/>
    <x v="11"/>
    <x v="9"/>
    <x v="2"/>
    <x v="3"/>
    <n v="1"/>
    <n v="1126"/>
    <n v="194.08"/>
  </r>
  <r>
    <x v="30"/>
    <x v="9"/>
    <x v="0"/>
    <x v="0"/>
    <x v="3"/>
    <n v="8"/>
    <n v="1376"/>
    <n v="152.1"/>
  </r>
  <r>
    <x v="31"/>
    <x v="1"/>
    <x v="1"/>
    <x v="1"/>
    <x v="3"/>
    <n v="4"/>
    <n v="988"/>
    <n v="147.91"/>
  </r>
  <r>
    <x v="32"/>
    <x v="9"/>
    <x v="9"/>
    <x v="2"/>
    <x v="0"/>
    <n v="9"/>
    <n v="10773"/>
    <n v="1907.36"/>
  </r>
  <r>
    <x v="33"/>
    <x v="4"/>
    <x v="4"/>
    <x v="1"/>
    <x v="2"/>
    <n v="4"/>
    <n v="3252"/>
    <n v="713.46"/>
  </r>
  <r>
    <x v="34"/>
    <x v="12"/>
    <x v="4"/>
    <x v="1"/>
    <x v="0"/>
    <n v="3"/>
    <n v="2739"/>
    <n v="202.81"/>
  </r>
  <r>
    <x v="35"/>
    <x v="7"/>
    <x v="2"/>
    <x v="2"/>
    <x v="2"/>
    <n v="7"/>
    <n v="2709"/>
    <n v="702.79"/>
  </r>
  <r>
    <x v="36"/>
    <x v="13"/>
    <x v="0"/>
    <x v="0"/>
    <x v="3"/>
    <n v="3"/>
    <n v="936"/>
    <n v="201.24"/>
  </r>
  <r>
    <x v="37"/>
    <x v="13"/>
    <x v="3"/>
    <x v="2"/>
    <x v="3"/>
    <n v="4"/>
    <n v="3720"/>
    <n v="410.92"/>
  </r>
  <r>
    <x v="38"/>
    <x v="9"/>
    <x v="1"/>
    <x v="1"/>
    <x v="3"/>
    <n v="5"/>
    <n v="5320"/>
    <n v="716.91"/>
  </r>
  <r>
    <x v="39"/>
    <x v="5"/>
    <x v="4"/>
    <x v="1"/>
    <x v="1"/>
    <n v="4"/>
    <n v="804"/>
    <n v="121.51"/>
  </r>
  <r>
    <x v="40"/>
    <x v="9"/>
    <x v="9"/>
    <x v="2"/>
    <x v="0"/>
    <n v="8"/>
    <n v="1224"/>
    <n v="246.77"/>
  </r>
  <r>
    <x v="41"/>
    <x v="5"/>
    <x v="4"/>
    <x v="1"/>
    <x v="2"/>
    <n v="9"/>
    <n v="8667"/>
    <n v="781.78"/>
  </r>
  <r>
    <x v="42"/>
    <x v="8"/>
    <x v="6"/>
    <x v="1"/>
    <x v="3"/>
    <n v="3"/>
    <n v="3018"/>
    <n v="320.11"/>
  </r>
  <r>
    <x v="43"/>
    <x v="9"/>
    <x v="9"/>
    <x v="2"/>
    <x v="3"/>
    <n v="5"/>
    <n v="4325"/>
    <n v="1023.39"/>
  </r>
  <r>
    <x v="44"/>
    <x v="7"/>
    <x v="9"/>
    <x v="2"/>
    <x v="2"/>
    <n v="3"/>
    <n v="1557"/>
    <n v="181.08"/>
  </r>
  <r>
    <x v="45"/>
    <x v="8"/>
    <x v="6"/>
    <x v="1"/>
    <x v="2"/>
    <n v="6"/>
    <n v="3672"/>
    <n v="1002.5"/>
  </r>
  <r>
    <x v="46"/>
    <x v="3"/>
    <x v="1"/>
    <x v="1"/>
    <x v="3"/>
    <n v="1"/>
    <n v="333"/>
    <n v="72.34"/>
  </r>
  <r>
    <x v="47"/>
    <x v="5"/>
    <x v="4"/>
    <x v="1"/>
    <x v="3"/>
    <n v="4"/>
    <n v="2384"/>
    <n v="577.26"/>
  </r>
  <r>
    <x v="48"/>
    <x v="1"/>
    <x v="1"/>
    <x v="1"/>
    <x v="3"/>
    <n v="6"/>
    <n v="888"/>
    <n v="210.39"/>
  </r>
  <r>
    <x v="49"/>
    <x v="9"/>
    <x v="9"/>
    <x v="2"/>
    <x v="3"/>
    <n v="5"/>
    <n v="3280"/>
    <n v="954.17"/>
  </r>
  <r>
    <x v="50"/>
    <x v="9"/>
    <x v="1"/>
    <x v="1"/>
    <x v="2"/>
    <n v="7"/>
    <n v="1239"/>
    <n v="177.39"/>
  </r>
  <r>
    <x v="51"/>
    <x v="4"/>
    <x v="4"/>
    <x v="1"/>
    <x v="1"/>
    <n v="8"/>
    <n v="5880"/>
    <n v="436.85"/>
  </r>
  <r>
    <x v="52"/>
    <x v="2"/>
    <x v="7"/>
    <x v="2"/>
    <x v="3"/>
    <n v="2"/>
    <n v="1668"/>
    <n v="437.3"/>
  </r>
  <r>
    <x v="53"/>
    <x v="9"/>
    <x v="0"/>
    <x v="0"/>
    <x v="3"/>
    <n v="7"/>
    <n v="4109"/>
    <n v="1037.6400000000001"/>
  </r>
  <r>
    <x v="54"/>
    <x v="2"/>
    <x v="5"/>
    <x v="2"/>
    <x v="3"/>
    <n v="7"/>
    <n v="595"/>
    <n v="148.5"/>
  </r>
  <r>
    <x v="55"/>
    <x v="4"/>
    <x v="4"/>
    <x v="1"/>
    <x v="1"/>
    <n v="7"/>
    <n v="8155"/>
    <n v="1587.91"/>
  </r>
  <r>
    <x v="56"/>
    <x v="6"/>
    <x v="6"/>
    <x v="1"/>
    <x v="2"/>
    <n v="3"/>
    <n v="1872"/>
    <n v="553.1"/>
  </r>
  <r>
    <x v="57"/>
    <x v="8"/>
    <x v="5"/>
    <x v="2"/>
    <x v="1"/>
    <n v="6"/>
    <n v="2124"/>
    <n v="126.03"/>
  </r>
  <r>
    <x v="58"/>
    <x v="3"/>
    <x v="6"/>
    <x v="1"/>
    <x v="3"/>
    <n v="5"/>
    <n v="5210"/>
    <n v="1338.8"/>
  </r>
  <r>
    <x v="59"/>
    <x v="3"/>
    <x v="1"/>
    <x v="1"/>
    <x v="2"/>
    <n v="7"/>
    <n v="5761"/>
    <n v="362.48"/>
  </r>
  <r>
    <x v="60"/>
    <x v="5"/>
    <x v="4"/>
    <x v="1"/>
    <x v="2"/>
    <n v="7"/>
    <n v="6895"/>
    <n v="1596.35"/>
  </r>
  <r>
    <x v="61"/>
    <x v="2"/>
    <x v="5"/>
    <x v="2"/>
    <x v="1"/>
    <n v="3"/>
    <n v="2118"/>
    <n v="317.08"/>
  </r>
  <r>
    <x v="62"/>
    <x v="8"/>
    <x v="5"/>
    <x v="2"/>
    <x v="0"/>
    <n v="5"/>
    <n v="830"/>
    <n v="58.28"/>
  </r>
  <r>
    <x v="63"/>
    <x v="12"/>
    <x v="5"/>
    <x v="2"/>
    <x v="0"/>
    <n v="1"/>
    <n v="851"/>
    <n v="93.56"/>
  </r>
  <r>
    <x v="64"/>
    <x v="2"/>
    <x v="2"/>
    <x v="2"/>
    <x v="1"/>
    <n v="5"/>
    <n v="4730"/>
    <n v="1365.63"/>
  </r>
  <r>
    <x v="65"/>
    <x v="3"/>
    <x v="1"/>
    <x v="1"/>
    <x v="3"/>
    <n v="6"/>
    <n v="5460"/>
    <n v="845.75"/>
  </r>
  <r>
    <x v="66"/>
    <x v="4"/>
    <x v="4"/>
    <x v="1"/>
    <x v="1"/>
    <n v="5"/>
    <n v="5795"/>
    <n v="310.60000000000002"/>
  </r>
  <r>
    <x v="67"/>
    <x v="3"/>
    <x v="9"/>
    <x v="2"/>
    <x v="2"/>
    <n v="4"/>
    <n v="2008"/>
    <n v="338.44"/>
  </r>
  <r>
    <x v="68"/>
    <x v="3"/>
    <x v="1"/>
    <x v="1"/>
    <x v="2"/>
    <n v="7"/>
    <n v="2842"/>
    <n v="425.24"/>
  </r>
  <r>
    <x v="69"/>
    <x v="3"/>
    <x v="1"/>
    <x v="1"/>
    <x v="1"/>
    <n v="4"/>
    <n v="3404"/>
    <n v="392.22"/>
  </r>
  <r>
    <x v="70"/>
    <x v="8"/>
    <x v="5"/>
    <x v="2"/>
    <x v="3"/>
    <n v="1"/>
    <n v="1065"/>
    <n v="228.63"/>
  </r>
  <r>
    <x v="71"/>
    <x v="7"/>
    <x v="2"/>
    <x v="2"/>
    <x v="3"/>
    <n v="7"/>
    <n v="2149"/>
    <n v="121.69"/>
  </r>
  <r>
    <x v="72"/>
    <x v="9"/>
    <x v="8"/>
    <x v="1"/>
    <x v="1"/>
    <n v="8"/>
    <n v="5912"/>
    <n v="1143.04"/>
  </r>
  <r>
    <x v="73"/>
    <x v="9"/>
    <x v="1"/>
    <x v="1"/>
    <x v="3"/>
    <n v="3"/>
    <n v="3348"/>
    <n v="331.28"/>
  </r>
  <r>
    <x v="74"/>
    <x v="14"/>
    <x v="7"/>
    <x v="2"/>
    <x v="2"/>
    <n v="3"/>
    <n v="2409"/>
    <n v="531.79"/>
  </r>
  <r>
    <x v="75"/>
    <x v="2"/>
    <x v="2"/>
    <x v="2"/>
    <x v="0"/>
    <n v="2"/>
    <n v="328"/>
    <n v="39.51"/>
  </r>
  <r>
    <x v="76"/>
    <x v="14"/>
    <x v="7"/>
    <x v="2"/>
    <x v="3"/>
    <n v="8"/>
    <n v="6224"/>
    <n v="1561.42"/>
  </r>
  <r>
    <x v="77"/>
    <x v="12"/>
    <x v="5"/>
    <x v="2"/>
    <x v="0"/>
    <n v="5"/>
    <n v="2530"/>
    <n v="486.09"/>
  </r>
  <r>
    <x v="78"/>
    <x v="4"/>
    <x v="4"/>
    <x v="1"/>
    <x v="3"/>
    <n v="4"/>
    <n v="4108"/>
    <n v="462.17"/>
  </r>
  <r>
    <x v="79"/>
    <x v="9"/>
    <x v="0"/>
    <x v="0"/>
    <x v="2"/>
    <n v="5"/>
    <n v="1640"/>
    <n v="391.36"/>
  </r>
  <r>
    <x v="80"/>
    <x v="2"/>
    <x v="9"/>
    <x v="2"/>
    <x v="2"/>
    <n v="1"/>
    <n v="111"/>
    <n v="19.329999999999998"/>
  </r>
  <r>
    <x v="81"/>
    <x v="5"/>
    <x v="4"/>
    <x v="1"/>
    <x v="0"/>
    <n v="1"/>
    <n v="445"/>
    <n v="128.88999999999999"/>
  </r>
  <r>
    <x v="82"/>
    <x v="9"/>
    <x v="0"/>
    <x v="0"/>
    <x v="0"/>
    <n v="4"/>
    <n v="3600"/>
    <n v="623.72"/>
  </r>
  <r>
    <x v="83"/>
    <x v="9"/>
    <x v="1"/>
    <x v="1"/>
    <x v="0"/>
    <n v="3"/>
    <n v="1335"/>
    <n v="176.44"/>
  </r>
  <r>
    <x v="84"/>
    <x v="9"/>
    <x v="8"/>
    <x v="1"/>
    <x v="2"/>
    <n v="5"/>
    <n v="3090"/>
    <n v="242.15"/>
  </r>
  <r>
    <x v="85"/>
    <x v="13"/>
    <x v="0"/>
    <x v="0"/>
    <x v="1"/>
    <n v="5"/>
    <n v="3910"/>
    <n v="538.52"/>
  </r>
  <r>
    <x v="20"/>
    <x v="10"/>
    <x v="3"/>
    <x v="2"/>
    <x v="2"/>
    <n v="1"/>
    <n v="219"/>
    <n v="32.67"/>
  </r>
  <r>
    <x v="86"/>
    <x v="2"/>
    <x v="7"/>
    <x v="2"/>
    <x v="3"/>
    <n v="5"/>
    <n v="390"/>
    <n v="27.77"/>
  </r>
  <r>
    <x v="87"/>
    <x v="2"/>
    <x v="9"/>
    <x v="2"/>
    <x v="0"/>
    <n v="6"/>
    <n v="3294"/>
    <n v="359.61"/>
  </r>
  <r>
    <x v="88"/>
    <x v="9"/>
    <x v="8"/>
    <x v="1"/>
    <x v="3"/>
    <n v="4"/>
    <n v="4572"/>
    <n v="1038.05"/>
  </r>
  <r>
    <x v="89"/>
    <x v="8"/>
    <x v="6"/>
    <x v="1"/>
    <x v="2"/>
    <n v="7"/>
    <n v="980"/>
    <n v="109.94"/>
  </r>
  <r>
    <x v="90"/>
    <x v="4"/>
    <x v="4"/>
    <x v="1"/>
    <x v="0"/>
    <n v="2"/>
    <n v="2262"/>
    <n v="532.12"/>
  </r>
  <r>
    <x v="91"/>
    <x v="10"/>
    <x v="3"/>
    <x v="2"/>
    <x v="2"/>
    <n v="7"/>
    <n v="7518"/>
    <n v="1655.91"/>
  </r>
  <r>
    <x v="92"/>
    <x v="10"/>
    <x v="3"/>
    <x v="2"/>
    <x v="2"/>
    <n v="1"/>
    <n v="873"/>
    <n v="158.97"/>
  </r>
  <r>
    <x v="93"/>
    <x v="1"/>
    <x v="1"/>
    <x v="1"/>
    <x v="0"/>
    <n v="6"/>
    <n v="1512"/>
    <n v="423.03"/>
  </r>
  <r>
    <x v="94"/>
    <x v="9"/>
    <x v="9"/>
    <x v="2"/>
    <x v="3"/>
    <n v="1"/>
    <n v="705"/>
    <n v="165.16"/>
  </r>
  <r>
    <x v="95"/>
    <x v="8"/>
    <x v="5"/>
    <x v="2"/>
    <x v="0"/>
    <n v="8"/>
    <n v="3256"/>
    <n v="533.70000000000005"/>
  </r>
  <r>
    <x v="96"/>
    <x v="2"/>
    <x v="2"/>
    <x v="2"/>
    <x v="3"/>
    <n v="4"/>
    <n v="556"/>
    <n v="81.77"/>
  </r>
  <r>
    <x v="97"/>
    <x v="9"/>
    <x v="1"/>
    <x v="1"/>
    <x v="1"/>
    <n v="9"/>
    <n v="7101"/>
    <n v="2105.8200000000002"/>
  </r>
  <r>
    <x v="98"/>
    <x v="11"/>
    <x v="9"/>
    <x v="2"/>
    <x v="3"/>
    <n v="9"/>
    <n v="8802"/>
    <n v="1344.9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57DD935-9E30-4EF2-87F4-911971E2DDC3}"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14" firstHeaderRow="1" firstDataRow="1" firstDataCol="1"/>
  <pivotFields count="13">
    <pivotField numFmtId="14" showAll="0">
      <items count="100">
        <item x="7"/>
        <item x="47"/>
        <item x="45"/>
        <item x="89"/>
        <item x="93"/>
        <item x="81"/>
        <item x="8"/>
        <item x="78"/>
        <item x="2"/>
        <item x="92"/>
        <item x="16"/>
        <item x="82"/>
        <item x="56"/>
        <item x="65"/>
        <item x="42"/>
        <item x="24"/>
        <item x="87"/>
        <item x="67"/>
        <item x="52"/>
        <item x="29"/>
        <item x="4"/>
        <item x="37"/>
        <item x="60"/>
        <item x="11"/>
        <item x="15"/>
        <item x="30"/>
        <item x="54"/>
        <item x="1"/>
        <item x="41"/>
        <item x="86"/>
        <item x="36"/>
        <item x="91"/>
        <item x="73"/>
        <item x="43"/>
        <item x="33"/>
        <item x="17"/>
        <item x="26"/>
        <item x="88"/>
        <item x="46"/>
        <item x="90"/>
        <item x="98"/>
        <item x="32"/>
        <item x="35"/>
        <item x="34"/>
        <item x="97"/>
        <item x="40"/>
        <item x="70"/>
        <item x="68"/>
        <item x="96"/>
        <item x="22"/>
        <item x="63"/>
        <item x="21"/>
        <item x="50"/>
        <item x="39"/>
        <item x="19"/>
        <item x="6"/>
        <item x="14"/>
        <item x="85"/>
        <item x="95"/>
        <item x="23"/>
        <item x="5"/>
        <item x="10"/>
        <item x="64"/>
        <item x="25"/>
        <item x="12"/>
        <item x="18"/>
        <item x="55"/>
        <item x="80"/>
        <item x="77"/>
        <item x="44"/>
        <item x="31"/>
        <item x="76"/>
        <item x="69"/>
        <item x="13"/>
        <item x="20"/>
        <item x="3"/>
        <item x="38"/>
        <item x="75"/>
        <item x="57"/>
        <item x="74"/>
        <item x="51"/>
        <item x="28"/>
        <item x="79"/>
        <item x="59"/>
        <item x="83"/>
        <item x="71"/>
        <item x="53"/>
        <item x="27"/>
        <item x="72"/>
        <item x="94"/>
        <item x="49"/>
        <item x="58"/>
        <item x="62"/>
        <item x="9"/>
        <item x="48"/>
        <item x="84"/>
        <item x="61"/>
        <item x="66"/>
        <item x="0"/>
        <item t="default"/>
      </items>
    </pivotField>
    <pivotField showAll="0"/>
    <pivotField showAll="0"/>
    <pivotField showAll="0">
      <items count="4">
        <item x="1"/>
        <item x="2"/>
        <item x="0"/>
        <item t="default"/>
      </items>
    </pivotField>
    <pivotField showAll="0">
      <items count="5">
        <item x="1"/>
        <item x="0"/>
        <item x="2"/>
        <item x="3"/>
        <item t="default"/>
      </items>
    </pivotField>
    <pivotField showAll="0"/>
    <pivotField dataField="1"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6">
        <item sd="0" x="0"/>
        <item sd="0" x="1"/>
        <item sd="0" x="2"/>
        <item sd="0" x="3"/>
        <item sd="0" x="4"/>
        <item sd="0" x="5"/>
      </items>
    </pivotField>
    <pivotField dragToRow="0" dragToCol="0" dragToPage="0" showAll="0" defaultSubtotal="0"/>
    <pivotField dragToRow="0" dragToCol="0" dragToPage="0" showAll="0" defaultSubtotal="0"/>
  </pivotFields>
  <rowFields count="1">
    <field x="8"/>
  </rowFields>
  <rowItems count="13">
    <i>
      <x v="1"/>
    </i>
    <i>
      <x v="2"/>
    </i>
    <i>
      <x v="3"/>
    </i>
    <i>
      <x v="4"/>
    </i>
    <i>
      <x v="5"/>
    </i>
    <i>
      <x v="6"/>
    </i>
    <i>
      <x v="7"/>
    </i>
    <i>
      <x v="8"/>
    </i>
    <i>
      <x v="9"/>
    </i>
    <i>
      <x v="10"/>
    </i>
    <i>
      <x v="11"/>
    </i>
    <i>
      <x v="12"/>
    </i>
    <i t="grand">
      <x/>
    </i>
  </rowItems>
  <colItems count="1">
    <i/>
  </colItems>
  <dataFields count="1">
    <dataField name="Sum of Sales" fld="6" baseField="0" baseItem="0"/>
  </dataFields>
  <chartFormats count="2">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AD71991-A66B-4630-95D3-DDC2DD286A1F}"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J1:K14" firstHeaderRow="1" firstDataRow="1" firstDataCol="1"/>
  <pivotFields count="13">
    <pivotField numFmtId="14" showAll="0">
      <items count="100">
        <item x="7"/>
        <item x="47"/>
        <item x="45"/>
        <item x="89"/>
        <item x="93"/>
        <item x="81"/>
        <item x="8"/>
        <item x="78"/>
        <item x="2"/>
        <item x="92"/>
        <item x="16"/>
        <item x="82"/>
        <item x="56"/>
        <item x="65"/>
        <item x="42"/>
        <item x="24"/>
        <item x="87"/>
        <item x="67"/>
        <item x="52"/>
        <item x="29"/>
        <item x="4"/>
        <item x="37"/>
        <item x="60"/>
        <item x="11"/>
        <item x="15"/>
        <item x="30"/>
        <item x="54"/>
        <item x="1"/>
        <item x="41"/>
        <item x="86"/>
        <item x="36"/>
        <item x="91"/>
        <item x="73"/>
        <item x="43"/>
        <item x="33"/>
        <item x="17"/>
        <item x="26"/>
        <item x="88"/>
        <item x="46"/>
        <item x="90"/>
        <item x="98"/>
        <item x="32"/>
        <item x="35"/>
        <item x="34"/>
        <item x="97"/>
        <item x="40"/>
        <item x="70"/>
        <item x="68"/>
        <item x="96"/>
        <item x="22"/>
        <item x="63"/>
        <item x="21"/>
        <item x="50"/>
        <item x="39"/>
        <item x="19"/>
        <item x="6"/>
        <item x="14"/>
        <item x="85"/>
        <item x="95"/>
        <item x="23"/>
        <item x="5"/>
        <item x="10"/>
        <item x="64"/>
        <item x="25"/>
        <item x="12"/>
        <item x="18"/>
        <item x="55"/>
        <item x="80"/>
        <item x="77"/>
        <item x="44"/>
        <item x="31"/>
        <item x="76"/>
        <item x="69"/>
        <item x="13"/>
        <item x="20"/>
        <item x="3"/>
        <item x="38"/>
        <item x="75"/>
        <item x="57"/>
        <item x="74"/>
        <item x="51"/>
        <item x="28"/>
        <item x="79"/>
        <item x="59"/>
        <item x="83"/>
        <item x="71"/>
        <item x="53"/>
        <item x="27"/>
        <item x="72"/>
        <item x="94"/>
        <item x="49"/>
        <item x="58"/>
        <item x="62"/>
        <item x="9"/>
        <item x="48"/>
        <item x="84"/>
        <item x="61"/>
        <item x="66"/>
        <item x="0"/>
        <item t="default"/>
      </items>
    </pivotField>
    <pivotField showAll="0"/>
    <pivotField showAll="0"/>
    <pivotField showAll="0">
      <items count="4">
        <item x="1"/>
        <item x="2"/>
        <item x="0"/>
        <item t="default"/>
      </items>
    </pivotField>
    <pivotField showAll="0">
      <items count="5">
        <item x="1"/>
        <item x="0"/>
        <item x="2"/>
        <item x="3"/>
        <item t="default"/>
      </items>
    </pivotField>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6">
        <item sd="0" x="0"/>
        <item sd="0" x="1"/>
        <item sd="0" x="2"/>
        <item sd="0" x="3"/>
        <item sd="0" x="4"/>
        <item sd="0" x="5"/>
      </items>
    </pivotField>
    <pivotField dataField="1" dragToRow="0" dragToCol="0" dragToPage="0" showAll="0" defaultSubtotal="0"/>
    <pivotField dragToRow="0" dragToCol="0" dragToPage="0" showAll="0" defaultSubtotal="0"/>
  </pivotFields>
  <rowFields count="1">
    <field x="8"/>
  </rowFields>
  <rowItems count="13">
    <i>
      <x v="1"/>
    </i>
    <i>
      <x v="2"/>
    </i>
    <i>
      <x v="3"/>
    </i>
    <i>
      <x v="4"/>
    </i>
    <i>
      <x v="5"/>
    </i>
    <i>
      <x v="6"/>
    </i>
    <i>
      <x v="7"/>
    </i>
    <i>
      <x v="8"/>
    </i>
    <i>
      <x v="9"/>
    </i>
    <i>
      <x v="10"/>
    </i>
    <i>
      <x v="11"/>
    </i>
    <i>
      <x v="12"/>
    </i>
    <i t="grand">
      <x/>
    </i>
  </rowItems>
  <colItems count="1">
    <i/>
  </colItems>
  <dataFields count="1">
    <dataField name="Sum of Profit margin" fld="11" baseField="0" baseItem="0"/>
  </dataFields>
  <chartFormats count="2">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2FEB91F-F2D4-407F-A741-931AB8E9F3B8}"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1:H14" firstHeaderRow="1" firstDataRow="1" firstDataCol="1"/>
  <pivotFields count="13">
    <pivotField numFmtId="14" showAll="0">
      <items count="100">
        <item x="7"/>
        <item x="47"/>
        <item x="45"/>
        <item x="89"/>
        <item x="93"/>
        <item x="81"/>
        <item x="8"/>
        <item x="78"/>
        <item x="2"/>
        <item x="92"/>
        <item x="16"/>
        <item x="82"/>
        <item x="56"/>
        <item x="65"/>
        <item x="42"/>
        <item x="24"/>
        <item x="87"/>
        <item x="67"/>
        <item x="52"/>
        <item x="29"/>
        <item x="4"/>
        <item x="37"/>
        <item x="60"/>
        <item x="11"/>
        <item x="15"/>
        <item x="30"/>
        <item x="54"/>
        <item x="1"/>
        <item x="41"/>
        <item x="86"/>
        <item x="36"/>
        <item x="91"/>
        <item x="73"/>
        <item x="43"/>
        <item x="33"/>
        <item x="17"/>
        <item x="26"/>
        <item x="88"/>
        <item x="46"/>
        <item x="90"/>
        <item x="98"/>
        <item x="32"/>
        <item x="35"/>
        <item x="34"/>
        <item x="97"/>
        <item x="40"/>
        <item x="70"/>
        <item x="68"/>
        <item x="96"/>
        <item x="22"/>
        <item x="63"/>
        <item x="21"/>
        <item x="50"/>
        <item x="39"/>
        <item x="19"/>
        <item x="6"/>
        <item x="14"/>
        <item x="85"/>
        <item x="95"/>
        <item x="23"/>
        <item x="5"/>
        <item x="10"/>
        <item x="64"/>
        <item x="25"/>
        <item x="12"/>
        <item x="18"/>
        <item x="55"/>
        <item x="80"/>
        <item x="77"/>
        <item x="44"/>
        <item x="31"/>
        <item x="76"/>
        <item x="69"/>
        <item x="13"/>
        <item x="20"/>
        <item x="3"/>
        <item x="38"/>
        <item x="75"/>
        <item x="57"/>
        <item x="74"/>
        <item x="51"/>
        <item x="28"/>
        <item x="79"/>
        <item x="59"/>
        <item x="83"/>
        <item x="71"/>
        <item x="53"/>
        <item x="27"/>
        <item x="72"/>
        <item x="94"/>
        <item x="49"/>
        <item x="58"/>
        <item x="62"/>
        <item x="9"/>
        <item x="48"/>
        <item x="84"/>
        <item x="61"/>
        <item x="66"/>
        <item x="0"/>
        <item t="default"/>
      </items>
    </pivotField>
    <pivotField showAll="0"/>
    <pivotField showAll="0"/>
    <pivotField showAll="0">
      <items count="4">
        <item x="1"/>
        <item x="2"/>
        <item x="0"/>
        <item t="default"/>
      </items>
    </pivotField>
    <pivotField showAll="0">
      <items count="5">
        <item x="1"/>
        <item x="0"/>
        <item x="2"/>
        <item x="3"/>
        <item t="default"/>
      </items>
    </pivotField>
    <pivotField dataField="1"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6">
        <item sd="0" x="0"/>
        <item sd="0" x="1"/>
        <item sd="0" x="2"/>
        <item sd="0" x="3"/>
        <item sd="0" x="4"/>
        <item sd="0" x="5"/>
      </items>
    </pivotField>
    <pivotField dragToRow="0" dragToCol="0" dragToPage="0" showAll="0" defaultSubtotal="0"/>
    <pivotField dragToRow="0" dragToCol="0" dragToPage="0" showAll="0" defaultSubtotal="0"/>
  </pivotFields>
  <rowFields count="1">
    <field x="8"/>
  </rowFields>
  <rowItems count="13">
    <i>
      <x v="1"/>
    </i>
    <i>
      <x v="2"/>
    </i>
    <i>
      <x v="3"/>
    </i>
    <i>
      <x v="4"/>
    </i>
    <i>
      <x v="5"/>
    </i>
    <i>
      <x v="6"/>
    </i>
    <i>
      <x v="7"/>
    </i>
    <i>
      <x v="8"/>
    </i>
    <i>
      <x v="9"/>
    </i>
    <i>
      <x v="10"/>
    </i>
    <i>
      <x v="11"/>
    </i>
    <i>
      <x v="12"/>
    </i>
    <i t="grand">
      <x/>
    </i>
  </rowItems>
  <colItems count="1">
    <i/>
  </colItems>
  <dataFields count="1">
    <dataField name="Sum of Quantity" fld="5"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CF8D454-A688-4E67-8EA8-1C4016C5113E}"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1:E14" firstHeaderRow="1" firstDataRow="1" firstDataCol="1"/>
  <pivotFields count="13">
    <pivotField numFmtId="14" showAll="0">
      <items count="100">
        <item x="7"/>
        <item x="47"/>
        <item x="45"/>
        <item x="89"/>
        <item x="93"/>
        <item x="81"/>
        <item x="8"/>
        <item x="78"/>
        <item x="2"/>
        <item x="92"/>
        <item x="16"/>
        <item x="82"/>
        <item x="56"/>
        <item x="65"/>
        <item x="42"/>
        <item x="24"/>
        <item x="87"/>
        <item x="67"/>
        <item x="52"/>
        <item x="29"/>
        <item x="4"/>
        <item x="37"/>
        <item x="60"/>
        <item x="11"/>
        <item x="15"/>
        <item x="30"/>
        <item x="54"/>
        <item x="1"/>
        <item x="41"/>
        <item x="86"/>
        <item x="36"/>
        <item x="91"/>
        <item x="73"/>
        <item x="43"/>
        <item x="33"/>
        <item x="17"/>
        <item x="26"/>
        <item x="88"/>
        <item x="46"/>
        <item x="90"/>
        <item x="98"/>
        <item x="32"/>
        <item x="35"/>
        <item x="34"/>
        <item x="97"/>
        <item x="40"/>
        <item x="70"/>
        <item x="68"/>
        <item x="96"/>
        <item x="22"/>
        <item x="63"/>
        <item x="21"/>
        <item x="50"/>
        <item x="39"/>
        <item x="19"/>
        <item x="6"/>
        <item x="14"/>
        <item x="85"/>
        <item x="95"/>
        <item x="23"/>
        <item x="5"/>
        <item x="10"/>
        <item x="64"/>
        <item x="25"/>
        <item x="12"/>
        <item x="18"/>
        <item x="55"/>
        <item x="80"/>
        <item x="77"/>
        <item x="44"/>
        <item x="31"/>
        <item x="76"/>
        <item x="69"/>
        <item x="13"/>
        <item x="20"/>
        <item x="3"/>
        <item x="38"/>
        <item x="75"/>
        <item x="57"/>
        <item x="74"/>
        <item x="51"/>
        <item x="28"/>
        <item x="79"/>
        <item x="59"/>
        <item x="83"/>
        <item x="71"/>
        <item x="53"/>
        <item x="27"/>
        <item x="72"/>
        <item x="94"/>
        <item x="49"/>
        <item x="58"/>
        <item x="62"/>
        <item x="9"/>
        <item x="48"/>
        <item x="84"/>
        <item x="61"/>
        <item x="66"/>
        <item x="0"/>
        <item t="default"/>
      </items>
    </pivotField>
    <pivotField showAll="0"/>
    <pivotField showAll="0"/>
    <pivotField showAll="0">
      <items count="4">
        <item x="1"/>
        <item x="2"/>
        <item x="0"/>
        <item t="default"/>
      </items>
    </pivotField>
    <pivotField showAll="0">
      <items count="5">
        <item x="1"/>
        <item x="0"/>
        <item x="2"/>
        <item x="3"/>
        <item t="default"/>
      </items>
    </pivotField>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6">
        <item sd="0" x="0"/>
        <item sd="0" x="1"/>
        <item sd="0" x="2"/>
        <item sd="0" x="3"/>
        <item sd="0" x="4"/>
        <item sd="0" x="5"/>
      </items>
    </pivotField>
    <pivotField dragToRow="0" dragToCol="0" dragToPage="0" showAll="0" defaultSubtotal="0"/>
    <pivotField dragToRow="0" dragToCol="0" dragToPage="0" showAll="0" defaultSubtotal="0"/>
  </pivotFields>
  <rowFields count="1">
    <field x="8"/>
  </rowFields>
  <rowItems count="13">
    <i>
      <x v="1"/>
    </i>
    <i>
      <x v="2"/>
    </i>
    <i>
      <x v="3"/>
    </i>
    <i>
      <x v="4"/>
    </i>
    <i>
      <x v="5"/>
    </i>
    <i>
      <x v="6"/>
    </i>
    <i>
      <x v="7"/>
    </i>
    <i>
      <x v="8"/>
    </i>
    <i>
      <x v="9"/>
    </i>
    <i>
      <x v="10"/>
    </i>
    <i>
      <x v="11"/>
    </i>
    <i>
      <x v="12"/>
    </i>
    <i t="grand">
      <x/>
    </i>
  </rowItems>
  <colItems count="1">
    <i/>
  </colItems>
  <dataFields count="1">
    <dataField name="Sum of Profit" fld="7" baseField="0" baseItem="0"/>
  </dataFields>
  <chartFormats count="2">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C96BAA7-CCC6-4CDA-821D-4DABBA498735}" name="PivotTable1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E6" firstHeaderRow="0" firstDataRow="1" firstDataCol="1"/>
  <pivotFields count="13">
    <pivotField numFmtId="14" showAll="0">
      <items count="100">
        <item x="7"/>
        <item x="47"/>
        <item x="45"/>
        <item x="89"/>
        <item x="93"/>
        <item x="81"/>
        <item x="8"/>
        <item x="78"/>
        <item x="2"/>
        <item x="92"/>
        <item x="16"/>
        <item x="82"/>
        <item x="56"/>
        <item x="65"/>
        <item x="42"/>
        <item x="24"/>
        <item x="87"/>
        <item x="67"/>
        <item x="52"/>
        <item x="29"/>
        <item x="4"/>
        <item x="37"/>
        <item x="60"/>
        <item x="11"/>
        <item x="15"/>
        <item x="30"/>
        <item x="54"/>
        <item x="1"/>
        <item x="41"/>
        <item x="86"/>
        <item x="36"/>
        <item x="91"/>
        <item x="73"/>
        <item x="43"/>
        <item x="33"/>
        <item x="17"/>
        <item x="26"/>
        <item x="88"/>
        <item x="46"/>
        <item x="90"/>
        <item x="98"/>
        <item x="32"/>
        <item x="35"/>
        <item x="34"/>
        <item x="97"/>
        <item x="40"/>
        <item x="70"/>
        <item x="68"/>
        <item x="96"/>
        <item x="22"/>
        <item x="63"/>
        <item x="21"/>
        <item x="50"/>
        <item x="39"/>
        <item x="19"/>
        <item x="6"/>
        <item x="14"/>
        <item x="85"/>
        <item x="95"/>
        <item x="23"/>
        <item x="5"/>
        <item x="10"/>
        <item x="64"/>
        <item x="25"/>
        <item x="12"/>
        <item x="18"/>
        <item x="55"/>
        <item x="80"/>
        <item x="77"/>
        <item x="44"/>
        <item x="31"/>
        <item x="76"/>
        <item x="69"/>
        <item x="13"/>
        <item x="20"/>
        <item x="3"/>
        <item x="38"/>
        <item x="75"/>
        <item x="57"/>
        <item x="74"/>
        <item x="51"/>
        <item x="28"/>
        <item x="79"/>
        <item x="59"/>
        <item x="83"/>
        <item x="71"/>
        <item x="53"/>
        <item x="27"/>
        <item x="72"/>
        <item x="94"/>
        <item x="49"/>
        <item x="58"/>
        <item x="62"/>
        <item x="9"/>
        <item x="48"/>
        <item x="84"/>
        <item x="61"/>
        <item x="66"/>
        <item x="0"/>
        <item t="default"/>
      </items>
    </pivotField>
    <pivotField showAll="0"/>
    <pivotField showAll="0"/>
    <pivotField showAll="0">
      <items count="4">
        <item x="1"/>
        <item x="2"/>
        <item x="0"/>
        <item t="default"/>
      </items>
    </pivotField>
    <pivotField showAll="0">
      <items count="5">
        <item x="1"/>
        <item x="0"/>
        <item x="2"/>
        <item x="3"/>
        <item t="default"/>
      </items>
    </pivotField>
    <pivotField dataField="1" showAll="0"/>
    <pivotField dataField="1" showAll="0"/>
    <pivotField dataField="1" showAll="0"/>
    <pivotField showAll="0" defaultSubtotal="0"/>
    <pivotField showAll="0" defaultSubtotal="0"/>
    <pivotField axis="axisRow" showAll="0" defaultSubtotal="0">
      <items count="6">
        <item x="0"/>
        <item x="1"/>
        <item x="2"/>
        <item x="3"/>
        <item x="4"/>
        <item x="5"/>
      </items>
    </pivotField>
    <pivotField dataField="1" dragToRow="0" dragToCol="0" dragToPage="0" showAll="0" defaultSubtotal="0"/>
    <pivotField dragToRow="0" dragToCol="0" dragToPage="0" showAll="0" defaultSubtotal="0"/>
  </pivotFields>
  <rowFields count="1">
    <field x="10"/>
  </rowFields>
  <rowItems count="3">
    <i>
      <x v="1"/>
    </i>
    <i>
      <x v="2"/>
    </i>
    <i>
      <x v="3"/>
    </i>
  </rowItems>
  <colFields count="1">
    <field x="-2"/>
  </colFields>
  <colItems count="4">
    <i>
      <x/>
    </i>
    <i i="1">
      <x v="1"/>
    </i>
    <i i="2">
      <x v="2"/>
    </i>
    <i i="3">
      <x v="3"/>
    </i>
  </colItems>
  <dataFields count="4">
    <dataField name="Sum of Quantity" fld="5" baseField="0" baseItem="0"/>
    <dataField name="Sum of Sales" fld="6" baseField="0" baseItem="0"/>
    <dataField name="Sum of Profit" fld="7" baseField="0" baseItem="0"/>
    <dataField name="Sum of Profit margin"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4F89FF0-FD87-4C79-B436-517160C55F8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61:B77" firstHeaderRow="1" firstDataRow="1" firstDataCol="1"/>
  <pivotFields count="13">
    <pivotField numFmtId="14" showAll="0">
      <items count="100">
        <item x="7"/>
        <item x="47"/>
        <item x="45"/>
        <item x="89"/>
        <item x="93"/>
        <item x="81"/>
        <item x="8"/>
        <item x="78"/>
        <item x="2"/>
        <item x="92"/>
        <item x="16"/>
        <item x="82"/>
        <item x="56"/>
        <item x="65"/>
        <item x="42"/>
        <item x="24"/>
        <item x="87"/>
        <item x="67"/>
        <item x="52"/>
        <item x="29"/>
        <item x="4"/>
        <item x="37"/>
        <item x="60"/>
        <item x="11"/>
        <item x="15"/>
        <item x="30"/>
        <item x="54"/>
        <item x="1"/>
        <item x="41"/>
        <item x="86"/>
        <item x="36"/>
        <item x="91"/>
        <item x="73"/>
        <item x="43"/>
        <item x="33"/>
        <item x="17"/>
        <item x="26"/>
        <item x="88"/>
        <item x="46"/>
        <item x="90"/>
        <item x="98"/>
        <item x="32"/>
        <item x="35"/>
        <item x="34"/>
        <item x="97"/>
        <item x="40"/>
        <item x="70"/>
        <item x="68"/>
        <item x="96"/>
        <item x="22"/>
        <item x="63"/>
        <item x="21"/>
        <item x="50"/>
        <item x="39"/>
        <item x="19"/>
        <item x="6"/>
        <item x="14"/>
        <item x="85"/>
        <item x="95"/>
        <item x="23"/>
        <item x="5"/>
        <item x="10"/>
        <item x="64"/>
        <item x="25"/>
        <item x="12"/>
        <item x="18"/>
        <item x="55"/>
        <item x="80"/>
        <item x="77"/>
        <item x="44"/>
        <item x="31"/>
        <item x="76"/>
        <item x="69"/>
        <item x="13"/>
        <item x="20"/>
        <item x="3"/>
        <item x="38"/>
        <item x="75"/>
        <item x="57"/>
        <item x="74"/>
        <item x="51"/>
        <item x="28"/>
        <item x="79"/>
        <item x="59"/>
        <item x="83"/>
        <item x="71"/>
        <item x="53"/>
        <item x="27"/>
        <item x="72"/>
        <item x="94"/>
        <item x="49"/>
        <item x="58"/>
        <item x="62"/>
        <item x="9"/>
        <item x="48"/>
        <item x="84"/>
        <item x="61"/>
        <item x="66"/>
        <item x="0"/>
        <item t="default"/>
      </items>
    </pivotField>
    <pivotField axis="axisRow" showAll="0">
      <items count="16">
        <item x="2"/>
        <item x="11"/>
        <item x="12"/>
        <item x="13"/>
        <item x="3"/>
        <item x="0"/>
        <item x="9"/>
        <item x="5"/>
        <item x="7"/>
        <item x="6"/>
        <item x="1"/>
        <item x="10"/>
        <item x="14"/>
        <item x="8"/>
        <item x="4"/>
        <item t="default"/>
      </items>
    </pivotField>
    <pivotField showAll="0"/>
    <pivotField showAll="0">
      <items count="4">
        <item x="1"/>
        <item x="2"/>
        <item x="0"/>
        <item t="default"/>
      </items>
    </pivotField>
    <pivotField showAll="0">
      <items count="5">
        <item x="1"/>
        <item x="0"/>
        <item x="2"/>
        <item x="3"/>
        <item t="default"/>
      </items>
    </pivotField>
    <pivotField showAll="0"/>
    <pivotField showAll="0"/>
    <pivotField dataField="1" showAll="0"/>
    <pivotField showAll="0" defaultSubtotal="0"/>
    <pivotField showAll="0" defaultSubtotal="0"/>
    <pivotField showAll="0" defaultSubtotal="0">
      <items count="6">
        <item x="0"/>
        <item x="1"/>
        <item x="2"/>
        <item x="3"/>
        <item x="4"/>
        <item x="5"/>
      </items>
    </pivotField>
    <pivotField dragToRow="0" dragToCol="0" dragToPage="0" showAll="0" defaultSubtotal="0"/>
    <pivotField dragToRow="0" dragToCol="0" dragToPage="0" showAll="0" defaultSubtotal="0"/>
  </pivotFields>
  <rowFields count="1">
    <field x="1"/>
  </rowFields>
  <rowItems count="16">
    <i>
      <x/>
    </i>
    <i>
      <x v="1"/>
    </i>
    <i>
      <x v="2"/>
    </i>
    <i>
      <x v="3"/>
    </i>
    <i>
      <x v="4"/>
    </i>
    <i>
      <x v="5"/>
    </i>
    <i>
      <x v="6"/>
    </i>
    <i>
      <x v="7"/>
    </i>
    <i>
      <x v="8"/>
    </i>
    <i>
      <x v="9"/>
    </i>
    <i>
      <x v="10"/>
    </i>
    <i>
      <x v="11"/>
    </i>
    <i>
      <x v="12"/>
    </i>
    <i>
      <x v="13"/>
    </i>
    <i>
      <x v="14"/>
    </i>
    <i t="grand">
      <x/>
    </i>
  </rowItems>
  <colItems count="1">
    <i/>
  </colItems>
  <dataFields count="1">
    <dataField name="Sum of Profit" fld="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B75C4EC-E582-48A8-9F1C-564C3B86A74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6:B51" firstHeaderRow="1" firstDataRow="1" firstDataCol="1"/>
  <pivotFields count="13">
    <pivotField numFmtId="14" showAll="0">
      <items count="100">
        <item x="7"/>
        <item x="47"/>
        <item x="45"/>
        <item x="89"/>
        <item x="93"/>
        <item x="81"/>
        <item x="8"/>
        <item x="78"/>
        <item x="2"/>
        <item x="92"/>
        <item x="16"/>
        <item x="82"/>
        <item x="56"/>
        <item x="65"/>
        <item x="42"/>
        <item x="24"/>
        <item x="87"/>
        <item x="67"/>
        <item x="52"/>
        <item x="29"/>
        <item x="4"/>
        <item x="37"/>
        <item x="60"/>
        <item x="11"/>
        <item x="15"/>
        <item x="30"/>
        <item x="54"/>
        <item x="1"/>
        <item x="41"/>
        <item x="86"/>
        <item x="36"/>
        <item x="91"/>
        <item x="73"/>
        <item x="43"/>
        <item x="33"/>
        <item x="17"/>
        <item x="26"/>
        <item x="88"/>
        <item x="46"/>
        <item x="90"/>
        <item x="98"/>
        <item x="32"/>
        <item x="35"/>
        <item x="34"/>
        <item x="97"/>
        <item x="40"/>
        <item x="70"/>
        <item x="68"/>
        <item x="96"/>
        <item x="22"/>
        <item x="63"/>
        <item x="21"/>
        <item x="50"/>
        <item x="39"/>
        <item x="19"/>
        <item x="6"/>
        <item x="14"/>
        <item x="85"/>
        <item x="95"/>
        <item x="23"/>
        <item x="5"/>
        <item x="10"/>
        <item x="64"/>
        <item x="25"/>
        <item x="12"/>
        <item x="18"/>
        <item x="55"/>
        <item x="80"/>
        <item x="77"/>
        <item x="44"/>
        <item x="31"/>
        <item x="76"/>
        <item x="69"/>
        <item x="13"/>
        <item x="20"/>
        <item x="3"/>
        <item x="38"/>
        <item x="75"/>
        <item x="57"/>
        <item x="74"/>
        <item x="51"/>
        <item x="28"/>
        <item x="79"/>
        <item x="59"/>
        <item x="83"/>
        <item x="71"/>
        <item x="53"/>
        <item x="27"/>
        <item x="72"/>
        <item x="94"/>
        <item x="49"/>
        <item x="58"/>
        <item x="62"/>
        <item x="9"/>
        <item x="48"/>
        <item x="84"/>
        <item x="61"/>
        <item x="66"/>
        <item x="0"/>
        <item t="default"/>
      </items>
    </pivotField>
    <pivotField showAll="0"/>
    <pivotField showAll="0"/>
    <pivotField showAll="0">
      <items count="4">
        <item x="1"/>
        <item x="2"/>
        <item x="0"/>
        <item t="default"/>
      </items>
    </pivotField>
    <pivotField axis="axisRow" showAll="0" sortType="descending">
      <items count="5">
        <item x="1"/>
        <item x="0"/>
        <item x="2"/>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defaultSubtotal="0"/>
    <pivotField showAll="0" defaultSubtotal="0"/>
    <pivotField showAll="0" defaultSubtotal="0">
      <items count="6">
        <item x="0"/>
        <item x="1"/>
        <item x="2"/>
        <item x="3"/>
        <item x="4"/>
        <item x="5"/>
      </items>
    </pivotField>
    <pivotField dragToRow="0" dragToCol="0" dragToPage="0" showAll="0" defaultSubtotal="0"/>
    <pivotField dragToRow="0" dragToCol="0" dragToPage="0" showAll="0" defaultSubtotal="0"/>
  </pivotFields>
  <rowFields count="1">
    <field x="4"/>
  </rowFields>
  <rowItems count="5">
    <i>
      <x v="3"/>
    </i>
    <i>
      <x v="1"/>
    </i>
    <i>
      <x v="2"/>
    </i>
    <i>
      <x/>
    </i>
    <i t="grand">
      <x/>
    </i>
  </rowItems>
  <colItems count="1">
    <i/>
  </colItems>
  <dataFields count="1">
    <dataField name="Sum of Sales" fld="6"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EA8C193-C5C2-4DBA-9F97-A706C385780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B20" firstHeaderRow="1" firstDataRow="1" firstDataCol="1"/>
  <pivotFields count="13">
    <pivotField numFmtId="14" showAll="0">
      <items count="100">
        <item x="7"/>
        <item x="47"/>
        <item x="45"/>
        <item x="89"/>
        <item x="93"/>
        <item x="81"/>
        <item x="8"/>
        <item x="78"/>
        <item x="2"/>
        <item x="92"/>
        <item x="16"/>
        <item x="82"/>
        <item x="56"/>
        <item x="65"/>
        <item x="42"/>
        <item x="24"/>
        <item x="87"/>
        <item x="67"/>
        <item x="52"/>
        <item x="29"/>
        <item x="4"/>
        <item x="37"/>
        <item x="60"/>
        <item x="11"/>
        <item x="15"/>
        <item x="30"/>
        <item x="54"/>
        <item x="1"/>
        <item x="41"/>
        <item x="86"/>
        <item x="36"/>
        <item x="91"/>
        <item x="73"/>
        <item x="43"/>
        <item x="33"/>
        <item x="17"/>
        <item x="26"/>
        <item x="88"/>
        <item x="46"/>
        <item x="90"/>
        <item x="98"/>
        <item x="32"/>
        <item x="35"/>
        <item x="34"/>
        <item x="97"/>
        <item x="40"/>
        <item x="70"/>
        <item x="68"/>
        <item x="96"/>
        <item x="22"/>
        <item x="63"/>
        <item x="21"/>
        <item x="50"/>
        <item x="39"/>
        <item x="19"/>
        <item x="6"/>
        <item x="14"/>
        <item x="85"/>
        <item x="95"/>
        <item x="23"/>
        <item x="5"/>
        <item x="10"/>
        <item x="64"/>
        <item x="25"/>
        <item x="12"/>
        <item x="18"/>
        <item x="55"/>
        <item x="80"/>
        <item x="77"/>
        <item x="44"/>
        <item x="31"/>
        <item x="76"/>
        <item x="69"/>
        <item x="13"/>
        <item x="20"/>
        <item x="3"/>
        <item x="38"/>
        <item x="75"/>
        <item x="57"/>
        <item x="74"/>
        <item x="51"/>
        <item x="28"/>
        <item x="79"/>
        <item x="59"/>
        <item x="83"/>
        <item x="71"/>
        <item x="53"/>
        <item x="27"/>
        <item x="72"/>
        <item x="94"/>
        <item x="49"/>
        <item x="58"/>
        <item x="62"/>
        <item x="9"/>
        <item x="48"/>
        <item x="84"/>
        <item x="61"/>
        <item x="66"/>
        <item x="0"/>
        <item t="default"/>
      </items>
    </pivotField>
    <pivotField showAll="0"/>
    <pivotField showAll="0">
      <items count="11">
        <item x="3"/>
        <item x="4"/>
        <item x="8"/>
        <item x="9"/>
        <item x="6"/>
        <item x="1"/>
        <item x="0"/>
        <item x="7"/>
        <item x="5"/>
        <item x="2"/>
        <item t="default"/>
      </items>
    </pivotField>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items count="5">
        <item x="1"/>
        <item x="0"/>
        <item x="2"/>
        <item x="3"/>
        <item t="default"/>
      </items>
    </pivotField>
    <pivotField showAll="0"/>
    <pivotField showAll="0"/>
    <pivotField dataField="1" showAll="0"/>
    <pivotField showAll="0" defaultSubtotal="0"/>
    <pivotField showAll="0" defaultSubtotal="0"/>
    <pivotField showAll="0" defaultSubtotal="0">
      <items count="6">
        <item x="0"/>
        <item x="1"/>
        <item x="2"/>
        <item x="3"/>
        <item x="4"/>
        <item x="5"/>
      </items>
    </pivotField>
    <pivotField dragToRow="0" dragToCol="0" dragToPage="0" showAll="0" defaultSubtotal="0"/>
    <pivotField dragToRow="0" dragToCol="0" dragToPage="0" showAll="0" defaultSubtotal="0"/>
  </pivotFields>
  <rowFields count="1">
    <field x="3"/>
  </rowFields>
  <rowItems count="4">
    <i>
      <x v="1"/>
    </i>
    <i>
      <x/>
    </i>
    <i>
      <x v="2"/>
    </i>
    <i t="grand">
      <x/>
    </i>
  </rowItems>
  <colItems count="1">
    <i/>
  </colItems>
  <dataFields count="1">
    <dataField name="Sum of Profi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49FE8F2-2356-425C-B306-3408A6143E9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1:C14" firstHeaderRow="0" firstDataRow="1" firstDataCol="1"/>
  <pivotFields count="13">
    <pivotField axis="axisRow" numFmtId="14" showAll="0">
      <items count="100">
        <item x="7"/>
        <item x="47"/>
        <item x="45"/>
        <item x="89"/>
        <item x="93"/>
        <item x="81"/>
        <item x="8"/>
        <item x="78"/>
        <item x="2"/>
        <item x="92"/>
        <item x="16"/>
        <item x="82"/>
        <item x="56"/>
        <item x="65"/>
        <item x="42"/>
        <item x="24"/>
        <item x="87"/>
        <item x="67"/>
        <item x="52"/>
        <item x="29"/>
        <item x="4"/>
        <item x="37"/>
        <item x="60"/>
        <item x="11"/>
        <item x="15"/>
        <item x="30"/>
        <item x="54"/>
        <item x="1"/>
        <item x="41"/>
        <item x="86"/>
        <item x="36"/>
        <item x="91"/>
        <item x="73"/>
        <item x="43"/>
        <item x="33"/>
        <item x="17"/>
        <item x="26"/>
        <item x="88"/>
        <item x="46"/>
        <item x="90"/>
        <item x="98"/>
        <item x="32"/>
        <item x="35"/>
        <item x="34"/>
        <item x="97"/>
        <item x="40"/>
        <item x="70"/>
        <item x="68"/>
        <item x="96"/>
        <item x="22"/>
        <item x="63"/>
        <item x="21"/>
        <item x="50"/>
        <item x="39"/>
        <item x="19"/>
        <item x="6"/>
        <item x="14"/>
        <item x="85"/>
        <item x="95"/>
        <item x="23"/>
        <item x="5"/>
        <item x="10"/>
        <item x="64"/>
        <item x="25"/>
        <item x="12"/>
        <item x="18"/>
        <item x="55"/>
        <item x="80"/>
        <item x="77"/>
        <item x="44"/>
        <item x="31"/>
        <item x="76"/>
        <item x="69"/>
        <item x="13"/>
        <item x="20"/>
        <item x="3"/>
        <item x="38"/>
        <item x="75"/>
        <item x="57"/>
        <item x="74"/>
        <item x="51"/>
        <item x="28"/>
        <item x="79"/>
        <item x="59"/>
        <item x="83"/>
        <item x="71"/>
        <item x="53"/>
        <item x="27"/>
        <item x="72"/>
        <item x="94"/>
        <item x="49"/>
        <item x="58"/>
        <item x="62"/>
        <item x="9"/>
        <item x="48"/>
        <item x="84"/>
        <item x="61"/>
        <item x="66"/>
        <item x="0"/>
        <item t="default"/>
      </items>
    </pivotField>
    <pivotField showAll="0"/>
    <pivotField showAll="0"/>
    <pivotField showAll="0">
      <items count="4">
        <item x="1"/>
        <item x="2"/>
        <item x="0"/>
        <item t="default"/>
      </items>
    </pivotField>
    <pivotField showAll="0">
      <items count="5">
        <item x="1"/>
        <item x="0"/>
        <item x="2"/>
        <item x="3"/>
        <item t="default"/>
      </items>
    </pivotField>
    <pivotField showAll="0"/>
    <pivotField dataField="1" showAll="0"/>
    <pivotField dataField="1" showAll="0"/>
    <pivotField axis="axisRow" showAll="0">
      <items count="15">
        <item sd="0" x="0"/>
        <item sd="0" x="1"/>
        <item sd="0" x="2"/>
        <item sd="0" x="3"/>
        <item sd="0" x="4"/>
        <item sd="0" x="5"/>
        <item sd="0" x="6"/>
        <item sd="0" x="7"/>
        <item sd="0" x="8"/>
        <item sd="0" x="9"/>
        <item sd="0" x="10"/>
        <item sd="0" x="11"/>
        <item sd="0" x="12"/>
        <item sd="0" x="13"/>
        <item t="default" sd="0"/>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 dragToRow="0" dragToCol="0" dragToPage="0" showAll="0" defaultSubtotal="0"/>
    <pivotField dragToRow="0" dragToCol="0" dragToPage="0" showAll="0" defaultSubtotal="0"/>
  </pivotFields>
  <rowFields count="2">
    <field x="8"/>
    <field x="0"/>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6" baseField="0" baseItem="0" numFmtId="164"/>
    <dataField name="Sum of Profit" fld="7" baseField="0" baseItem="0" numFmtId="164"/>
  </dataFields>
  <formats count="14">
    <format dxfId="14">
      <pivotArea collapsedLevelsAreSubtotals="1" fieldPosition="0">
        <references count="2">
          <reference field="4294967294" count="1" selected="0">
            <x v="1"/>
          </reference>
          <reference field="8" count="1">
            <x v="1"/>
          </reference>
        </references>
      </pivotArea>
    </format>
    <format dxfId="13">
      <pivotArea collapsedLevelsAreSubtotals="1" fieldPosition="0">
        <references count="2">
          <reference field="4294967294" count="1" selected="0">
            <x v="1"/>
          </reference>
          <reference field="8" count="1">
            <x v="2"/>
          </reference>
        </references>
      </pivotArea>
    </format>
    <format dxfId="12">
      <pivotArea collapsedLevelsAreSubtotals="1" fieldPosition="0">
        <references count="2">
          <reference field="4294967294" count="1" selected="0">
            <x v="1"/>
          </reference>
          <reference field="8" count="1">
            <x v="3"/>
          </reference>
        </references>
      </pivotArea>
    </format>
    <format dxfId="11">
      <pivotArea collapsedLevelsAreSubtotals="1" fieldPosition="0">
        <references count="2">
          <reference field="4294967294" count="1" selected="0">
            <x v="1"/>
          </reference>
          <reference field="8" count="1">
            <x v="4"/>
          </reference>
        </references>
      </pivotArea>
    </format>
    <format dxfId="10">
      <pivotArea collapsedLevelsAreSubtotals="1" fieldPosition="0">
        <references count="2">
          <reference field="4294967294" count="1" selected="0">
            <x v="1"/>
          </reference>
          <reference field="8" count="1">
            <x v="5"/>
          </reference>
        </references>
      </pivotArea>
    </format>
    <format dxfId="9">
      <pivotArea collapsedLevelsAreSubtotals="1" fieldPosition="0">
        <references count="2">
          <reference field="4294967294" count="1" selected="0">
            <x v="1"/>
          </reference>
          <reference field="8" count="1">
            <x v="6"/>
          </reference>
        </references>
      </pivotArea>
    </format>
    <format dxfId="8">
      <pivotArea collapsedLevelsAreSubtotals="1" fieldPosition="0">
        <references count="2">
          <reference field="4294967294" count="1" selected="0">
            <x v="1"/>
          </reference>
          <reference field="8" count="1">
            <x v="7"/>
          </reference>
        </references>
      </pivotArea>
    </format>
    <format dxfId="7">
      <pivotArea collapsedLevelsAreSubtotals="1" fieldPosition="0">
        <references count="2">
          <reference field="4294967294" count="1" selected="0">
            <x v="1"/>
          </reference>
          <reference field="8" count="1">
            <x v="8"/>
          </reference>
        </references>
      </pivotArea>
    </format>
    <format dxfId="6">
      <pivotArea collapsedLevelsAreSubtotals="1" fieldPosition="0">
        <references count="2">
          <reference field="4294967294" count="1" selected="0">
            <x v="1"/>
          </reference>
          <reference field="8" count="1">
            <x v="9"/>
          </reference>
        </references>
      </pivotArea>
    </format>
    <format dxfId="5">
      <pivotArea collapsedLevelsAreSubtotals="1" fieldPosition="0">
        <references count="2">
          <reference field="4294967294" count="1" selected="0">
            <x v="1"/>
          </reference>
          <reference field="8" count="1">
            <x v="10"/>
          </reference>
        </references>
      </pivotArea>
    </format>
    <format dxfId="4">
      <pivotArea collapsedLevelsAreSubtotals="1" fieldPosition="0">
        <references count="2">
          <reference field="4294967294" count="1" selected="0">
            <x v="1"/>
          </reference>
          <reference field="8" count="1">
            <x v="11"/>
          </reference>
        </references>
      </pivotArea>
    </format>
    <format dxfId="3">
      <pivotArea collapsedLevelsAreSubtotals="1" fieldPosition="0">
        <references count="2">
          <reference field="4294967294" count="1" selected="0">
            <x v="1"/>
          </reference>
          <reference field="8" count="1">
            <x v="12"/>
          </reference>
        </references>
      </pivotArea>
    </format>
    <format dxfId="2">
      <pivotArea outline="0" collapsedLevelsAreSubtotals="1" fieldPosition="0">
        <references count="1">
          <reference field="4294967294" count="1" selected="0">
            <x v="0"/>
          </reference>
        </references>
      </pivotArea>
    </format>
    <format dxfId="1">
      <pivotArea outline="0" collapsedLevelsAreSubtotals="1" fieldPosition="0">
        <references count="1">
          <reference field="4294967294" count="1" selected="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598B6AD-6517-488B-A887-524CFFBD690E}"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2:B36" firstHeaderRow="1" firstDataRow="1" firstDataCol="1"/>
  <pivotFields count="13">
    <pivotField numFmtId="14" showAll="0">
      <items count="100">
        <item x="7"/>
        <item x="47"/>
        <item x="45"/>
        <item x="89"/>
        <item x="93"/>
        <item x="81"/>
        <item x="8"/>
        <item x="78"/>
        <item x="2"/>
        <item x="92"/>
        <item x="16"/>
        <item x="82"/>
        <item x="56"/>
        <item x="65"/>
        <item x="42"/>
        <item x="24"/>
        <item x="87"/>
        <item x="67"/>
        <item x="52"/>
        <item x="29"/>
        <item x="4"/>
        <item x="37"/>
        <item x="60"/>
        <item x="11"/>
        <item x="15"/>
        <item x="30"/>
        <item x="54"/>
        <item x="1"/>
        <item x="41"/>
        <item x="86"/>
        <item x="36"/>
        <item x="91"/>
        <item x="73"/>
        <item x="43"/>
        <item x="33"/>
        <item x="17"/>
        <item x="26"/>
        <item x="88"/>
        <item x="46"/>
        <item x="90"/>
        <item x="98"/>
        <item x="32"/>
        <item x="35"/>
        <item x="34"/>
        <item x="97"/>
        <item x="40"/>
        <item x="70"/>
        <item x="68"/>
        <item x="96"/>
        <item x="22"/>
        <item x="63"/>
        <item x="21"/>
        <item x="50"/>
        <item x="39"/>
        <item x="19"/>
        <item x="6"/>
        <item x="14"/>
        <item x="85"/>
        <item x="95"/>
        <item x="23"/>
        <item x="5"/>
        <item x="10"/>
        <item x="64"/>
        <item x="25"/>
        <item x="12"/>
        <item x="18"/>
        <item x="55"/>
        <item x="80"/>
        <item x="77"/>
        <item x="44"/>
        <item x="31"/>
        <item x="76"/>
        <item x="69"/>
        <item x="13"/>
        <item x="20"/>
        <item x="3"/>
        <item x="38"/>
        <item x="75"/>
        <item x="57"/>
        <item x="74"/>
        <item x="51"/>
        <item x="28"/>
        <item x="79"/>
        <item x="59"/>
        <item x="83"/>
        <item x="71"/>
        <item x="53"/>
        <item x="27"/>
        <item x="72"/>
        <item x="94"/>
        <item x="49"/>
        <item x="58"/>
        <item x="62"/>
        <item x="9"/>
        <item x="48"/>
        <item x="84"/>
        <item x="61"/>
        <item x="66"/>
        <item x="0"/>
        <item t="default"/>
      </items>
    </pivotField>
    <pivotField showAll="0"/>
    <pivotField showAll="0"/>
    <pivotField axis="axisRow" showAll="0">
      <items count="4">
        <item x="1"/>
        <item x="2"/>
        <item x="0"/>
        <item t="default"/>
      </items>
    </pivotField>
    <pivotField showAll="0">
      <items count="5">
        <item x="1"/>
        <item x="0"/>
        <item x="2"/>
        <item x="3"/>
        <item t="default"/>
      </items>
    </pivotField>
    <pivotField showAll="0"/>
    <pivotField dataField="1" showAll="0"/>
    <pivotField showAll="0"/>
    <pivotField showAll="0" defaultSubtotal="0"/>
    <pivotField showAll="0" defaultSubtotal="0"/>
    <pivotField showAll="0" defaultSubtotal="0">
      <items count="6">
        <item x="0"/>
        <item x="1"/>
        <item x="2"/>
        <item x="3"/>
        <item x="4"/>
        <item x="5"/>
      </items>
    </pivotField>
    <pivotField dragToRow="0" dragToCol="0" dragToPage="0" showAll="0" defaultSubtotal="0"/>
    <pivotField dragToRow="0" dragToCol="0" dragToPage="0" showAll="0" defaultSubtotal="0"/>
  </pivotFields>
  <rowFields count="1">
    <field x="3"/>
  </rowFields>
  <rowItems count="4">
    <i>
      <x/>
    </i>
    <i>
      <x v="1"/>
    </i>
    <i>
      <x v="2"/>
    </i>
    <i t="grand">
      <x/>
    </i>
  </rowItems>
  <colItems count="1">
    <i/>
  </colItems>
  <dataFields count="1">
    <dataField name="Sum of Sales" fld="6"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3" count="1" selected="0">
            <x v="0"/>
          </reference>
        </references>
      </pivotArea>
    </chartFormat>
    <chartFormat chart="8" format="10">
      <pivotArea type="data" outline="0" fieldPosition="0">
        <references count="2">
          <reference field="4294967294" count="1" selected="0">
            <x v="0"/>
          </reference>
          <reference field="3" count="1" selected="0">
            <x v="1"/>
          </reference>
        </references>
      </pivotArea>
    </chartFormat>
    <chartFormat chart="8" format="1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907FE72-F0D5-4B40-9C47-E5CBEDBFAB8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K62:L68" firstHeaderRow="1" firstDataRow="1" firstDataCol="1"/>
  <pivotFields count="13">
    <pivotField numFmtId="14" showAll="0">
      <items count="100">
        <item x="7"/>
        <item x="47"/>
        <item x="45"/>
        <item x="89"/>
        <item x="93"/>
        <item x="81"/>
        <item x="8"/>
        <item x="78"/>
        <item x="2"/>
        <item x="92"/>
        <item x="16"/>
        <item x="82"/>
        <item x="56"/>
        <item x="65"/>
        <item x="42"/>
        <item x="24"/>
        <item x="87"/>
        <item x="67"/>
        <item x="52"/>
        <item x="29"/>
        <item x="4"/>
        <item x="37"/>
        <item x="60"/>
        <item x="11"/>
        <item x="15"/>
        <item x="30"/>
        <item x="54"/>
        <item x="1"/>
        <item x="41"/>
        <item x="86"/>
        <item x="36"/>
        <item x="91"/>
        <item x="73"/>
        <item x="43"/>
        <item x="33"/>
        <item x="17"/>
        <item x="26"/>
        <item x="88"/>
        <item x="46"/>
        <item x="90"/>
        <item x="98"/>
        <item x="32"/>
        <item x="35"/>
        <item x="34"/>
        <item x="97"/>
        <item x="40"/>
        <item x="70"/>
        <item x="68"/>
        <item x="96"/>
        <item x="22"/>
        <item x="63"/>
        <item x="21"/>
        <item x="50"/>
        <item x="39"/>
        <item x="19"/>
        <item x="6"/>
        <item x="14"/>
        <item x="85"/>
        <item x="95"/>
        <item x="23"/>
        <item x="5"/>
        <item x="10"/>
        <item x="64"/>
        <item x="25"/>
        <item x="12"/>
        <item x="18"/>
        <item x="55"/>
        <item x="80"/>
        <item x="77"/>
        <item x="44"/>
        <item x="31"/>
        <item x="76"/>
        <item x="69"/>
        <item x="13"/>
        <item x="20"/>
        <item x="3"/>
        <item x="38"/>
        <item x="75"/>
        <item x="57"/>
        <item x="74"/>
        <item x="51"/>
        <item x="28"/>
        <item x="79"/>
        <item x="59"/>
        <item x="83"/>
        <item x="71"/>
        <item x="53"/>
        <item x="27"/>
        <item x="72"/>
        <item x="94"/>
        <item x="49"/>
        <item x="58"/>
        <item x="62"/>
        <item x="9"/>
        <item x="48"/>
        <item x="84"/>
        <item x="61"/>
        <item x="66"/>
        <item x="0"/>
        <item t="default"/>
      </items>
    </pivotField>
    <pivotField axis="axisRow" showAll="0" measureFilter="1" sortType="ascending">
      <items count="16">
        <item x="4"/>
        <item x="8"/>
        <item x="14"/>
        <item x="10"/>
        <item x="1"/>
        <item x="6"/>
        <item x="7"/>
        <item x="5"/>
        <item x="9"/>
        <item x="0"/>
        <item x="3"/>
        <item x="13"/>
        <item x="12"/>
        <item x="11"/>
        <item x="2"/>
        <item t="default"/>
      </items>
      <autoSortScope>
        <pivotArea dataOnly="0" outline="0" fieldPosition="0">
          <references count="1">
            <reference field="4294967294" count="1" selected="0">
              <x v="0"/>
            </reference>
          </references>
        </pivotArea>
      </autoSortScope>
    </pivotField>
    <pivotField showAll="0"/>
    <pivotField showAll="0">
      <items count="4">
        <item x="1"/>
        <item x="2"/>
        <item x="0"/>
        <item t="default"/>
      </items>
    </pivotField>
    <pivotField showAll="0">
      <items count="5">
        <item x="1"/>
        <item x="0"/>
        <item x="2"/>
        <item x="3"/>
        <item t="default"/>
      </items>
    </pivotField>
    <pivotField showAll="0"/>
    <pivotField dataField="1" showAll="0"/>
    <pivotField showAll="0"/>
    <pivotField showAll="0" defaultSubtotal="0"/>
    <pivotField showAll="0" defaultSubtotal="0"/>
    <pivotField showAll="0" defaultSubtotal="0">
      <items count="6">
        <item x="0"/>
        <item x="1"/>
        <item x="2"/>
        <item x="3"/>
        <item x="4"/>
        <item x="5"/>
      </items>
    </pivotField>
    <pivotField dragToRow="0" dragToCol="0" dragToPage="0" showAll="0" defaultSubtotal="0"/>
    <pivotField dragToRow="0" dragToCol="0" dragToPage="0" showAll="0" defaultSubtotal="0"/>
  </pivotFields>
  <rowFields count="1">
    <field x="1"/>
  </rowFields>
  <rowItems count="6">
    <i>
      <x v="7"/>
    </i>
    <i>
      <x v="10"/>
    </i>
    <i>
      <x v="14"/>
    </i>
    <i>
      <x/>
    </i>
    <i>
      <x v="8"/>
    </i>
    <i t="grand">
      <x/>
    </i>
  </rowItems>
  <colItems count="1">
    <i/>
  </colItems>
  <dataFields count="1">
    <dataField name="Sum of Sales" fld="6"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9984B8F-36AD-414D-AC8A-8CAF39C40F3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K47" firstHeaderRow="1" firstDataRow="1" firstDataCol="1"/>
  <pivotFields count="13">
    <pivotField numFmtId="14" showAll="0">
      <items count="100">
        <item x="7"/>
        <item x="47"/>
        <item x="45"/>
        <item x="89"/>
        <item x="93"/>
        <item x="81"/>
        <item x="8"/>
        <item x="78"/>
        <item x="2"/>
        <item x="92"/>
        <item x="16"/>
        <item x="82"/>
        <item x="56"/>
        <item x="65"/>
        <item x="42"/>
        <item x="24"/>
        <item x="87"/>
        <item x="67"/>
        <item x="52"/>
        <item x="29"/>
        <item x="4"/>
        <item x="37"/>
        <item x="60"/>
        <item x="11"/>
        <item x="15"/>
        <item x="30"/>
        <item x="54"/>
        <item x="1"/>
        <item x="41"/>
        <item x="86"/>
        <item x="36"/>
        <item x="91"/>
        <item x="73"/>
        <item x="43"/>
        <item x="33"/>
        <item x="17"/>
        <item x="26"/>
        <item x="88"/>
        <item x="46"/>
        <item x="90"/>
        <item x="98"/>
        <item x="32"/>
        <item x="35"/>
        <item x="34"/>
        <item x="97"/>
        <item x="40"/>
        <item x="70"/>
        <item x="68"/>
        <item x="96"/>
        <item x="22"/>
        <item x="63"/>
        <item x="21"/>
        <item x="50"/>
        <item x="39"/>
        <item x="19"/>
        <item x="6"/>
        <item x="14"/>
        <item x="85"/>
        <item x="95"/>
        <item x="23"/>
        <item x="5"/>
        <item x="10"/>
        <item x="64"/>
        <item x="25"/>
        <item x="12"/>
        <item x="18"/>
        <item x="55"/>
        <item x="80"/>
        <item x="77"/>
        <item x="44"/>
        <item x="31"/>
        <item x="76"/>
        <item x="69"/>
        <item x="13"/>
        <item x="20"/>
        <item x="3"/>
        <item x="38"/>
        <item x="75"/>
        <item x="57"/>
        <item x="74"/>
        <item x="51"/>
        <item x="28"/>
        <item x="79"/>
        <item x="59"/>
        <item x="83"/>
        <item x="71"/>
        <item x="53"/>
        <item x="27"/>
        <item x="72"/>
        <item x="94"/>
        <item x="49"/>
        <item x="58"/>
        <item x="62"/>
        <item x="9"/>
        <item x="48"/>
        <item x="84"/>
        <item x="61"/>
        <item x="66"/>
        <item x="0"/>
        <item t="default"/>
      </items>
    </pivotField>
    <pivotField axis="axisRow" showAll="0">
      <items count="16">
        <item x="2"/>
        <item x="11"/>
        <item x="12"/>
        <item x="13"/>
        <item x="3"/>
        <item x="0"/>
        <item x="9"/>
        <item x="5"/>
        <item x="7"/>
        <item x="6"/>
        <item x="1"/>
        <item x="10"/>
        <item x="14"/>
        <item x="8"/>
        <item x="4"/>
        <item t="default"/>
      </items>
    </pivotField>
    <pivotField axis="axisRow" showAll="0">
      <items count="11">
        <item x="3"/>
        <item x="4"/>
        <item x="8"/>
        <item x="9"/>
        <item x="6"/>
        <item x="1"/>
        <item x="0"/>
        <item x="7"/>
        <item x="5"/>
        <item x="2"/>
        <item t="default"/>
      </items>
    </pivotField>
    <pivotField dataField="1" showAll="0">
      <items count="4">
        <item x="1"/>
        <item x="2"/>
        <item x="0"/>
        <item t="default"/>
      </items>
    </pivotField>
    <pivotField showAll="0"/>
    <pivotField showAll="0"/>
    <pivotField showAll="0"/>
    <pivotField showAll="0"/>
    <pivotField showAll="0" defaultSubtotal="0"/>
    <pivotField showAll="0" defaultSubtotal="0"/>
    <pivotField showAll="0" defaultSubtotal="0">
      <items count="6">
        <item x="0"/>
        <item x="1"/>
        <item x="2"/>
        <item x="3"/>
        <item x="4"/>
        <item x="5"/>
      </items>
    </pivotField>
    <pivotField dragToRow="0" dragToCol="0" dragToPage="0" showAll="0" defaultSubtotal="0"/>
    <pivotField dragToRow="0" dragToCol="0" dragToPage="0" showAll="0" defaultSubtotal="0"/>
  </pivotFields>
  <rowFields count="2">
    <field x="1"/>
    <field x="2"/>
  </rowFields>
  <rowItems count="46">
    <i>
      <x/>
    </i>
    <i r="1">
      <x v="3"/>
    </i>
    <i r="1">
      <x v="7"/>
    </i>
    <i r="1">
      <x v="8"/>
    </i>
    <i r="1">
      <x v="9"/>
    </i>
    <i>
      <x v="1"/>
    </i>
    <i r="1">
      <x v="3"/>
    </i>
    <i>
      <x v="2"/>
    </i>
    <i r="1">
      <x v="1"/>
    </i>
    <i r="1">
      <x v="8"/>
    </i>
    <i>
      <x v="3"/>
    </i>
    <i r="1">
      <x/>
    </i>
    <i r="1">
      <x v="6"/>
    </i>
    <i>
      <x v="4"/>
    </i>
    <i r="1">
      <x v="3"/>
    </i>
    <i r="1">
      <x v="4"/>
    </i>
    <i r="1">
      <x v="5"/>
    </i>
    <i>
      <x v="5"/>
    </i>
    <i r="1">
      <x v="6"/>
    </i>
    <i>
      <x v="6"/>
    </i>
    <i r="1">
      <x v="2"/>
    </i>
    <i r="1">
      <x v="3"/>
    </i>
    <i r="1">
      <x v="5"/>
    </i>
    <i r="1">
      <x v="6"/>
    </i>
    <i>
      <x v="7"/>
    </i>
    <i r="1">
      <x v="1"/>
    </i>
    <i>
      <x v="8"/>
    </i>
    <i r="1">
      <x v="3"/>
    </i>
    <i r="1">
      <x v="9"/>
    </i>
    <i>
      <x v="9"/>
    </i>
    <i r="1">
      <x v="4"/>
    </i>
    <i>
      <x v="10"/>
    </i>
    <i r="1">
      <x v="5"/>
    </i>
    <i>
      <x v="11"/>
    </i>
    <i r="1">
      <x/>
    </i>
    <i>
      <x v="12"/>
    </i>
    <i r="1">
      <x v="7"/>
    </i>
    <i>
      <x v="13"/>
    </i>
    <i r="1">
      <x v="4"/>
    </i>
    <i r="1">
      <x v="7"/>
    </i>
    <i r="1">
      <x v="8"/>
    </i>
    <i r="1">
      <x v="9"/>
    </i>
    <i>
      <x v="14"/>
    </i>
    <i r="1">
      <x/>
    </i>
    <i r="1">
      <x v="1"/>
    </i>
    <i t="grand">
      <x/>
    </i>
  </rowItems>
  <colItems count="1">
    <i/>
  </colItems>
  <dataFields count="1">
    <dataField name="Count of Category"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D6389FB-F1E4-41D1-8B1C-AAE5537FA10C}" sourceName="Category">
  <pivotTables>
    <pivotTable tabId="2" name="PivotTable6"/>
    <pivotTable tabId="4" name="PivotTable12"/>
    <pivotTable tabId="2" name="PivotTable1"/>
    <pivotTable tabId="2" name="PivotTable11"/>
    <pivotTable tabId="2" name="PivotTable3"/>
    <pivotTable tabId="2" name="PivotTable4"/>
    <pivotTable tabId="2" name="PivotTable7"/>
    <pivotTable tabId="3" name="PivotTable10"/>
    <pivotTable tabId="3" name="PivotTable11"/>
    <pivotTable tabId="3" name="PivotTable8"/>
    <pivotTable tabId="3" name="PivotTable9"/>
  </pivotTables>
  <data>
    <tabular pivotCacheId="637709154">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694238F-A508-4175-9F55-A4B2F89B94A5}" sourceName="Region">
  <pivotTables>
    <pivotTable tabId="2" name="PivotTable6"/>
    <pivotTable tabId="4" name="PivotTable12"/>
    <pivotTable tabId="2" name="PivotTable1"/>
    <pivotTable tabId="2" name="PivotTable11"/>
    <pivotTable tabId="2" name="PivotTable3"/>
    <pivotTable tabId="2" name="PivotTable4"/>
    <pivotTable tabId="2" name="PivotTable7"/>
    <pivotTable tabId="3" name="PivotTable10"/>
    <pivotTable tabId="3" name="PivotTable11"/>
    <pivotTable tabId="3" name="PivotTable8"/>
    <pivotTable tabId="3" name="PivotTable9"/>
  </pivotTables>
  <data>
    <tabular pivotCacheId="637709154">
      <items count="4">
        <i x="1" s="1"/>
        <i x="0"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BD7EA0DB-F386-45DF-A1CA-B4B1AB18E880}" sourceName="Years (Order Date)">
  <pivotTables>
    <pivotTable tabId="2" name="PivotTable6"/>
    <pivotTable tabId="2" name="PivotTable1"/>
    <pivotTable tabId="2" name="PivotTable11"/>
    <pivotTable tabId="2" name="PivotTable3"/>
    <pivotTable tabId="2" name="PivotTable4"/>
    <pivotTable tabId="2" name="PivotTable7"/>
    <pivotTable tabId="3" name="PivotTable10"/>
    <pivotTable tabId="3" name="PivotTable11"/>
    <pivotTable tabId="3" name="PivotTable8"/>
    <pivotTable tabId="3" name="PivotTable9"/>
  </pivotTables>
  <data>
    <tabular pivotCacheId="637709154">
      <items count="6">
        <i x="1" s="1"/>
        <i x="2" s="1"/>
        <i x="3" s="1"/>
        <i x="0" s="1" nd="1"/>
        <i x="5" s="1" nd="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BB523A14-AEF9-4D52-9E56-ACE581EBF3A7}" cache="Slicer_Category" caption="Category" style="SlicerStyleOther1" rowHeight="247650"/>
  <slicer name="Region 1" xr10:uid="{43CBC9CC-5CB2-4D93-B78B-9EA1C7EE96E8}" cache="Slicer_Region" caption="Region" startItem="1" style="SlicerStyleOther1" rowHeight="247650"/>
  <slicer name="Years  1" xr10:uid="{D645EB17-4CFC-420A-8CFA-5D6DA7B0B470}" cache="Slicer_Years__Order_Date" caption="Year" style="SlicerStyleOther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2B7EF39D-AB9A-459A-BC12-B54142A79E07}" cache="Slicer_Category" caption="Category" rowHeight="247650"/>
  <slicer name="Region" xr10:uid="{A7BC9B3B-F715-49C0-A254-D882CFB756C2}" cache="Slicer_Region" caption="Region" rowHeight="247650"/>
  <slicer name="Years " xr10:uid="{704F2458-BEEF-4091-B862-42C33C65F707}" cache="Slicer_Years__Order_Date" caption="Year"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5FB5442-1709-4767-91D1-93B2A56FEAA4}" name="Table2" displayName="Table2" ref="A3:H39" totalsRowShown="0">
  <autoFilter ref="A3:H39" xr:uid="{95FB5442-1709-4767-91D1-93B2A56FEAA4}"/>
  <tableColumns count="8">
    <tableColumn id="1" xr3:uid="{9A497201-4408-4A1B-B494-CE5A54E8BFBC}" name="Order Date" dataDxfId="15"/>
    <tableColumn id="2" xr3:uid="{8D4AD0E4-D14A-454F-B7B4-ED71B225D6B9}" name="Product Brand"/>
    <tableColumn id="3" xr3:uid="{CEA97A63-1DAF-4552-BC67-B4AEED341098}" name="Product Name"/>
    <tableColumn id="4" xr3:uid="{18C61D9C-C494-4853-96F9-D0E7F24EA603}" name="Category"/>
    <tableColumn id="5" xr3:uid="{2CC4D844-55CA-40B0-82F0-3B29A3A3A619}" name="Region"/>
    <tableColumn id="6" xr3:uid="{30A22E1B-D07C-45BE-8BAE-E7A3F5EDD1D6}" name="Quantity"/>
    <tableColumn id="7" xr3:uid="{A5DA119A-6872-43AB-A970-47F74667B6D1}" name="Sales"/>
    <tableColumn id="8" xr3:uid="{931A191E-4E6E-4846-83DC-68BAC3AD4A53}" name="Profi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B3D8438-81B2-4C85-8705-C7A89966E183}" name="Table1" displayName="Table1" ref="A1:H101" totalsRowShown="0">
  <autoFilter ref="A1:H101" xr:uid="{7B3D8438-81B2-4C85-8705-C7A89966E183}"/>
  <tableColumns count="8">
    <tableColumn id="1" xr3:uid="{A4ED1176-B747-4BB3-B3E3-200644C1C740}" name="Order Date" dataDxfId="0"/>
    <tableColumn id="2" xr3:uid="{FC9FFABC-FC6A-4E43-9105-19F306C318A2}" name="Product Brand"/>
    <tableColumn id="3" xr3:uid="{5D42EA89-D899-4D10-86FC-320BDA42FF0A}" name="Product Name"/>
    <tableColumn id="4" xr3:uid="{B7ABD88E-2C19-46BF-AA00-B1EE375D98CC}" name="Category"/>
    <tableColumn id="5" xr3:uid="{9260D601-E560-409D-8CB2-19A8BD61B5E5}" name="Region"/>
    <tableColumn id="6" xr3:uid="{BFA237E3-5899-4F5D-8D02-007CB6A4A989}" name="Quantity"/>
    <tableColumn id="7" xr3:uid="{5059A220-0373-43D5-BF02-F60FD5DA0162}" name="Sales"/>
    <tableColumn id="8" xr3:uid="{25E2A6D2-5828-4834-AABB-D1DB1687CBF1}"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vmlDrawing" Target="../drawings/vmlDrawing1.vml"/><Relationship Id="rId1" Type="http://schemas.openxmlformats.org/officeDocument/2006/relationships/drawing" Target="../drawings/drawing2.xml"/><Relationship Id="rId4" Type="http://schemas.microsoft.com/office/2007/relationships/slicer" Target="../slicers/slicer1.xml"/></Relationships>
</file>

<file path=xl/worksheets/_rels/sheet5.xml.rels><?xml version="1.0" encoding="UTF-8" standalone="yes"?>
<Relationships xmlns="http://schemas.openxmlformats.org/package/2006/relationships"><Relationship Id="rId8" Type="http://schemas.microsoft.com/office/2007/relationships/slicer" Target="../slicers/slicer2.xml"/><Relationship Id="rId3" Type="http://schemas.openxmlformats.org/officeDocument/2006/relationships/pivotTable" Target="../pivotTables/pivotTable8.xml"/><Relationship Id="rId7" Type="http://schemas.openxmlformats.org/officeDocument/2006/relationships/drawing" Target="../drawings/drawing3.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pivotTable" Target="../pivotTables/pivotTable11.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ivotTable" Target="../pivotTables/pivot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ECFE9-59EF-48DD-AC4A-17E25AFAF14E}">
  <dimension ref="A1:N16"/>
  <sheetViews>
    <sheetView workbookViewId="0">
      <selection activeCell="Q17" sqref="Q17"/>
    </sheetView>
  </sheetViews>
  <sheetFormatPr defaultRowHeight="14.4" x14ac:dyDescent="0.3"/>
  <cols>
    <col min="1" max="1" width="12.44140625" bestFit="1" customWidth="1"/>
    <col min="2" max="2" width="11.5546875" bestFit="1" customWidth="1"/>
    <col min="4" max="4" width="12.44140625" bestFit="1" customWidth="1"/>
    <col min="5" max="6" width="11.5546875" bestFit="1" customWidth="1"/>
    <col min="7" max="7" width="12.44140625" bestFit="1" customWidth="1"/>
    <col min="8" max="8" width="14.21875" bestFit="1" customWidth="1"/>
    <col min="9" max="10" width="12.44140625" bestFit="1" customWidth="1"/>
    <col min="11" max="11" width="17.88671875" bestFit="1" customWidth="1"/>
    <col min="13" max="13" width="12.44140625" bestFit="1" customWidth="1"/>
    <col min="14" max="14" width="12.21875" bestFit="1" customWidth="1"/>
  </cols>
  <sheetData>
    <row r="1" spans="1:14" x14ac:dyDescent="0.3">
      <c r="A1" s="2" t="s">
        <v>40</v>
      </c>
      <c r="B1" t="s">
        <v>42</v>
      </c>
      <c r="D1" s="2" t="s">
        <v>40</v>
      </c>
      <c r="E1" t="s">
        <v>43</v>
      </c>
      <c r="G1" s="2" t="s">
        <v>40</v>
      </c>
      <c r="H1" t="s">
        <v>63</v>
      </c>
      <c r="J1" s="2" t="s">
        <v>40</v>
      </c>
      <c r="K1" t="s">
        <v>64</v>
      </c>
    </row>
    <row r="2" spans="1:14" x14ac:dyDescent="0.3">
      <c r="A2" s="3" t="s">
        <v>44</v>
      </c>
      <c r="B2">
        <v>20414</v>
      </c>
      <c r="D2" s="3" t="s">
        <v>44</v>
      </c>
      <c r="E2">
        <v>4829.76</v>
      </c>
      <c r="G2" s="3" t="s">
        <v>44</v>
      </c>
      <c r="H2">
        <v>37</v>
      </c>
      <c r="J2" s="3" t="s">
        <v>44</v>
      </c>
      <c r="K2">
        <v>0.2365905750955227</v>
      </c>
    </row>
    <row r="3" spans="1:14" x14ac:dyDescent="0.3">
      <c r="A3" s="3" t="s">
        <v>45</v>
      </c>
      <c r="B3">
        <v>23238</v>
      </c>
      <c r="D3" s="3" t="s">
        <v>45</v>
      </c>
      <c r="E3">
        <v>3724.3599999999997</v>
      </c>
      <c r="G3" s="3" t="s">
        <v>45</v>
      </c>
      <c r="H3">
        <v>36</v>
      </c>
      <c r="J3" s="3" t="s">
        <v>45</v>
      </c>
      <c r="K3">
        <v>0.16027024700920903</v>
      </c>
    </row>
    <row r="4" spans="1:14" x14ac:dyDescent="0.3">
      <c r="A4" s="3" t="s">
        <v>46</v>
      </c>
      <c r="B4">
        <v>21052</v>
      </c>
      <c r="D4" s="3" t="s">
        <v>46</v>
      </c>
      <c r="E4">
        <v>3249.9300000000003</v>
      </c>
      <c r="G4" s="3" t="s">
        <v>46</v>
      </c>
      <c r="H4">
        <v>26</v>
      </c>
      <c r="J4" s="3" t="s">
        <v>46</v>
      </c>
      <c r="K4">
        <v>0.15437630628918869</v>
      </c>
    </row>
    <row r="5" spans="1:14" x14ac:dyDescent="0.3">
      <c r="A5" s="3" t="s">
        <v>47</v>
      </c>
      <c r="B5">
        <v>39041</v>
      </c>
      <c r="D5" s="3" t="s">
        <v>47</v>
      </c>
      <c r="E5">
        <v>6242.01</v>
      </c>
      <c r="G5" s="3" t="s">
        <v>47</v>
      </c>
      <c r="H5">
        <v>51</v>
      </c>
      <c r="J5" s="3" t="s">
        <v>47</v>
      </c>
      <c r="K5">
        <v>0.1598834558541021</v>
      </c>
    </row>
    <row r="6" spans="1:14" x14ac:dyDescent="0.3">
      <c r="A6" s="3" t="s">
        <v>48</v>
      </c>
      <c r="B6">
        <v>40710</v>
      </c>
      <c r="D6" s="3" t="s">
        <v>48</v>
      </c>
      <c r="E6">
        <v>6251.68</v>
      </c>
      <c r="G6" s="3" t="s">
        <v>48</v>
      </c>
      <c r="H6">
        <v>56</v>
      </c>
      <c r="J6" s="3" t="s">
        <v>48</v>
      </c>
      <c r="K6">
        <v>0.15356619995087203</v>
      </c>
    </row>
    <row r="7" spans="1:14" x14ac:dyDescent="0.3">
      <c r="A7" s="3" t="s">
        <v>49</v>
      </c>
      <c r="B7">
        <v>22521</v>
      </c>
      <c r="D7" s="3" t="s">
        <v>49</v>
      </c>
      <c r="E7">
        <v>2547.11</v>
      </c>
      <c r="G7" s="3" t="s">
        <v>49</v>
      </c>
      <c r="H7">
        <v>42</v>
      </c>
      <c r="J7" s="3" t="s">
        <v>49</v>
      </c>
      <c r="K7">
        <v>0.1130993295146752</v>
      </c>
    </row>
    <row r="8" spans="1:14" x14ac:dyDescent="0.3">
      <c r="A8" s="3" t="s">
        <v>50</v>
      </c>
      <c r="B8">
        <v>12413</v>
      </c>
      <c r="D8" s="3" t="s">
        <v>50</v>
      </c>
      <c r="E8">
        <v>2451.6799999999998</v>
      </c>
      <c r="G8" s="3" t="s">
        <v>50</v>
      </c>
      <c r="H8">
        <v>23</v>
      </c>
      <c r="J8" s="3" t="s">
        <v>50</v>
      </c>
      <c r="K8">
        <v>0.19750906307903004</v>
      </c>
    </row>
    <row r="9" spans="1:14" x14ac:dyDescent="0.3">
      <c r="A9" s="3" t="s">
        <v>51</v>
      </c>
      <c r="B9">
        <v>14291</v>
      </c>
      <c r="D9" s="3" t="s">
        <v>51</v>
      </c>
      <c r="E9">
        <v>2212.67</v>
      </c>
      <c r="G9" s="3" t="s">
        <v>51</v>
      </c>
      <c r="H9">
        <v>21</v>
      </c>
      <c r="J9" s="3" t="s">
        <v>51</v>
      </c>
      <c r="K9">
        <v>0.15482961304317402</v>
      </c>
    </row>
    <row r="10" spans="1:14" x14ac:dyDescent="0.3">
      <c r="A10" s="3" t="s">
        <v>52</v>
      </c>
      <c r="B10">
        <v>23714</v>
      </c>
      <c r="D10" s="3" t="s">
        <v>52</v>
      </c>
      <c r="E10">
        <v>5293.8099999999995</v>
      </c>
      <c r="G10" s="3" t="s">
        <v>52</v>
      </c>
      <c r="H10">
        <v>31</v>
      </c>
      <c r="J10" s="3" t="s">
        <v>52</v>
      </c>
      <c r="K10">
        <v>0.22323564139326979</v>
      </c>
    </row>
    <row r="11" spans="1:14" x14ac:dyDescent="0.3">
      <c r="A11" s="3" t="s">
        <v>53</v>
      </c>
      <c r="B11">
        <v>17884</v>
      </c>
      <c r="D11" s="3" t="s">
        <v>53</v>
      </c>
      <c r="E11">
        <v>2931.83</v>
      </c>
      <c r="G11" s="3" t="s">
        <v>53</v>
      </c>
      <c r="H11">
        <v>44</v>
      </c>
      <c r="J11" s="3" t="s">
        <v>53</v>
      </c>
      <c r="K11">
        <v>0.16393592037575486</v>
      </c>
    </row>
    <row r="12" spans="1:14" x14ac:dyDescent="0.3">
      <c r="A12" s="3" t="s">
        <v>54</v>
      </c>
      <c r="B12">
        <v>6157</v>
      </c>
      <c r="D12" s="3" t="s">
        <v>54</v>
      </c>
      <c r="E12">
        <v>1404.62</v>
      </c>
      <c r="G12" s="3" t="s">
        <v>54</v>
      </c>
      <c r="H12">
        <v>23</v>
      </c>
      <c r="J12" s="3" t="s">
        <v>54</v>
      </c>
      <c r="K12">
        <v>0.22813383141140164</v>
      </c>
    </row>
    <row r="13" spans="1:14" x14ac:dyDescent="0.3">
      <c r="A13" s="3" t="s">
        <v>55</v>
      </c>
      <c r="B13">
        <v>67088</v>
      </c>
      <c r="D13" s="3" t="s">
        <v>55</v>
      </c>
      <c r="E13">
        <v>12197.06</v>
      </c>
      <c r="G13" s="3" t="s">
        <v>55</v>
      </c>
      <c r="H13">
        <v>82</v>
      </c>
      <c r="J13" s="3" t="s">
        <v>55</v>
      </c>
      <c r="K13">
        <v>0.18180688051514429</v>
      </c>
    </row>
    <row r="14" spans="1:14" x14ac:dyDescent="0.3">
      <c r="A14" s="3" t="s">
        <v>41</v>
      </c>
      <c r="B14">
        <v>308523</v>
      </c>
      <c r="D14" s="3" t="s">
        <v>41</v>
      </c>
      <c r="E14">
        <v>53336.52</v>
      </c>
      <c r="G14" s="3" t="s">
        <v>41</v>
      </c>
      <c r="H14">
        <v>472</v>
      </c>
      <c r="J14" s="3" t="s">
        <v>41</v>
      </c>
      <c r="K14">
        <v>0.17287696541262726</v>
      </c>
    </row>
    <row r="15" spans="1:14" x14ac:dyDescent="0.3">
      <c r="B15" s="4">
        <f>GETPIVOTDATA("Sales",$A$1)</f>
        <v>308523</v>
      </c>
      <c r="E15" s="4">
        <f>GETPIVOTDATA("Profit",$D$1)</f>
        <v>53336.52</v>
      </c>
      <c r="H15" s="5">
        <f>GETPIVOTDATA("Quantity",$G$1)</f>
        <v>472</v>
      </c>
      <c r="K15" s="6">
        <f>GETPIVOTDATA("Profit margin",$J$1)</f>
        <v>0.17287696541262726</v>
      </c>
      <c r="N15" s="10"/>
    </row>
    <row r="16" spans="1:14" x14ac:dyDescent="0.3">
      <c r="K16" t="s">
        <v>69</v>
      </c>
    </row>
  </sheetData>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35F09-8C11-4F41-B7B1-090700C78968}">
  <dimension ref="A1:H39"/>
  <sheetViews>
    <sheetView workbookViewId="0">
      <selection activeCell="A4" sqref="A4"/>
    </sheetView>
  </sheetViews>
  <sheetFormatPr defaultRowHeight="14.4" x14ac:dyDescent="0.3"/>
  <cols>
    <col min="1" max="1" width="12.21875" bestFit="1" customWidth="1"/>
    <col min="2" max="2" width="15" bestFit="1" customWidth="1"/>
    <col min="3" max="3" width="15.109375" bestFit="1" customWidth="1"/>
    <col min="4" max="4" width="10.88671875" bestFit="1" customWidth="1"/>
    <col min="5" max="5" width="9" bestFit="1" customWidth="1"/>
    <col min="6" max="6" width="10.33203125" bestFit="1" customWidth="1"/>
    <col min="7" max="8" width="9" bestFit="1" customWidth="1"/>
  </cols>
  <sheetData>
    <row r="1" spans="1:8" x14ac:dyDescent="0.3">
      <c r="A1" s="7" t="s">
        <v>65</v>
      </c>
    </row>
    <row r="3" spans="1:8" x14ac:dyDescent="0.3">
      <c r="A3" t="s">
        <v>0</v>
      </c>
      <c r="B3" t="s">
        <v>7</v>
      </c>
      <c r="C3" t="s">
        <v>1</v>
      </c>
      <c r="D3" t="s">
        <v>2</v>
      </c>
      <c r="E3" t="s">
        <v>3</v>
      </c>
      <c r="F3" t="s">
        <v>4</v>
      </c>
      <c r="G3" t="s">
        <v>5</v>
      </c>
      <c r="H3" t="s">
        <v>6</v>
      </c>
    </row>
    <row r="4" spans="1:8" x14ac:dyDescent="0.3">
      <c r="A4" s="1">
        <v>45022</v>
      </c>
      <c r="B4" t="s">
        <v>36</v>
      </c>
      <c r="C4" t="s">
        <v>35</v>
      </c>
      <c r="D4" t="s">
        <v>17</v>
      </c>
      <c r="E4" t="s">
        <v>21</v>
      </c>
      <c r="F4">
        <v>9</v>
      </c>
      <c r="G4">
        <v>8802</v>
      </c>
      <c r="H4">
        <v>1344.96</v>
      </c>
    </row>
    <row r="5" spans="1:8" x14ac:dyDescent="0.3">
      <c r="A5" s="1">
        <v>45063</v>
      </c>
      <c r="B5" t="s">
        <v>32</v>
      </c>
      <c r="C5" t="s">
        <v>12</v>
      </c>
      <c r="D5" t="s">
        <v>13</v>
      </c>
      <c r="E5" t="s">
        <v>14</v>
      </c>
      <c r="F5">
        <v>9</v>
      </c>
      <c r="G5">
        <v>7101</v>
      </c>
      <c r="H5">
        <v>2105.8200000000002</v>
      </c>
    </row>
    <row r="6" spans="1:8" x14ac:dyDescent="0.3">
      <c r="A6" s="1">
        <v>45101</v>
      </c>
      <c r="B6" t="s">
        <v>19</v>
      </c>
      <c r="C6" t="s">
        <v>16</v>
      </c>
      <c r="D6" t="s">
        <v>17</v>
      </c>
      <c r="E6" t="s">
        <v>21</v>
      </c>
      <c r="F6">
        <v>4</v>
      </c>
      <c r="G6">
        <v>556</v>
      </c>
      <c r="H6">
        <v>81.77</v>
      </c>
    </row>
    <row r="7" spans="1:8" x14ac:dyDescent="0.3">
      <c r="A7" s="1">
        <v>45229</v>
      </c>
      <c r="B7" t="s">
        <v>31</v>
      </c>
      <c r="C7" t="s">
        <v>26</v>
      </c>
      <c r="D7" t="s">
        <v>17</v>
      </c>
      <c r="E7" t="s">
        <v>10</v>
      </c>
      <c r="F7">
        <v>8</v>
      </c>
      <c r="G7">
        <v>3256</v>
      </c>
      <c r="H7">
        <v>533.70000000000005</v>
      </c>
    </row>
    <row r="8" spans="1:8" x14ac:dyDescent="0.3">
      <c r="A8" s="1">
        <v>45017</v>
      </c>
      <c r="B8" t="s">
        <v>23</v>
      </c>
      <c r="C8" t="s">
        <v>24</v>
      </c>
      <c r="D8" t="s">
        <v>13</v>
      </c>
      <c r="E8" t="s">
        <v>10</v>
      </c>
      <c r="F8">
        <v>2</v>
      </c>
      <c r="G8">
        <v>2262</v>
      </c>
      <c r="H8">
        <v>532.12</v>
      </c>
    </row>
    <row r="9" spans="1:8" x14ac:dyDescent="0.3">
      <c r="A9" s="1">
        <v>45261</v>
      </c>
      <c r="B9" t="s">
        <v>23</v>
      </c>
      <c r="C9" t="s">
        <v>22</v>
      </c>
      <c r="D9" t="s">
        <v>17</v>
      </c>
      <c r="E9" t="s">
        <v>21</v>
      </c>
      <c r="F9">
        <v>1</v>
      </c>
      <c r="G9">
        <v>524</v>
      </c>
      <c r="H9">
        <v>106.35</v>
      </c>
    </row>
    <row r="10" spans="1:8" x14ac:dyDescent="0.3">
      <c r="A10" s="1">
        <v>45208</v>
      </c>
      <c r="B10" t="s">
        <v>25</v>
      </c>
      <c r="C10" t="s">
        <v>24</v>
      </c>
      <c r="D10" t="s">
        <v>13</v>
      </c>
      <c r="E10" t="s">
        <v>10</v>
      </c>
      <c r="F10">
        <v>7</v>
      </c>
      <c r="G10">
        <v>6167</v>
      </c>
      <c r="H10">
        <v>1027.98</v>
      </c>
    </row>
    <row r="11" spans="1:8" x14ac:dyDescent="0.3">
      <c r="A11" s="1">
        <v>45006</v>
      </c>
      <c r="B11" t="s">
        <v>32</v>
      </c>
      <c r="C11" t="s">
        <v>33</v>
      </c>
      <c r="D11" t="s">
        <v>13</v>
      </c>
      <c r="E11" t="s">
        <v>21</v>
      </c>
      <c r="F11">
        <v>4</v>
      </c>
      <c r="G11">
        <v>4572</v>
      </c>
      <c r="H11">
        <v>1038.05</v>
      </c>
    </row>
    <row r="12" spans="1:8" x14ac:dyDescent="0.3">
      <c r="A12" s="1">
        <v>45219</v>
      </c>
      <c r="B12" t="s">
        <v>38</v>
      </c>
      <c r="C12" t="s">
        <v>8</v>
      </c>
      <c r="D12" t="s">
        <v>9</v>
      </c>
      <c r="E12" t="s">
        <v>14</v>
      </c>
      <c r="F12">
        <v>5</v>
      </c>
      <c r="G12">
        <v>3910</v>
      </c>
      <c r="H12">
        <v>538.52</v>
      </c>
    </row>
    <row r="13" spans="1:8" x14ac:dyDescent="0.3">
      <c r="A13" s="1">
        <v>45290</v>
      </c>
      <c r="B13" t="s">
        <v>19</v>
      </c>
      <c r="C13" t="s">
        <v>35</v>
      </c>
      <c r="D13" t="s">
        <v>17</v>
      </c>
      <c r="E13" t="s">
        <v>18</v>
      </c>
      <c r="F13">
        <v>1</v>
      </c>
      <c r="G13">
        <v>111</v>
      </c>
      <c r="H13">
        <v>19.329999999999998</v>
      </c>
    </row>
    <row r="14" spans="1:8" x14ac:dyDescent="0.3">
      <c r="A14" s="1">
        <v>45264</v>
      </c>
      <c r="B14" t="s">
        <v>28</v>
      </c>
      <c r="C14" t="s">
        <v>27</v>
      </c>
      <c r="D14" t="s">
        <v>13</v>
      </c>
      <c r="E14" t="s">
        <v>18</v>
      </c>
      <c r="F14">
        <v>6</v>
      </c>
      <c r="G14">
        <v>7074</v>
      </c>
      <c r="H14">
        <v>1357.68</v>
      </c>
    </row>
    <row r="15" spans="1:8" x14ac:dyDescent="0.3">
      <c r="A15" s="1">
        <v>44958</v>
      </c>
      <c r="B15" t="s">
        <v>32</v>
      </c>
      <c r="C15" t="s">
        <v>12</v>
      </c>
      <c r="D15" t="s">
        <v>13</v>
      </c>
      <c r="E15" t="s">
        <v>21</v>
      </c>
      <c r="F15">
        <v>3</v>
      </c>
      <c r="G15">
        <v>3348</v>
      </c>
      <c r="H15">
        <v>331.28</v>
      </c>
    </row>
    <row r="16" spans="1:8" x14ac:dyDescent="0.3">
      <c r="A16" s="1">
        <v>45281</v>
      </c>
      <c r="B16" t="s">
        <v>29</v>
      </c>
      <c r="C16" t="s">
        <v>16</v>
      </c>
      <c r="D16" t="s">
        <v>17</v>
      </c>
      <c r="E16" t="s">
        <v>10</v>
      </c>
      <c r="F16">
        <v>7</v>
      </c>
      <c r="G16">
        <v>7462</v>
      </c>
      <c r="H16">
        <v>2166.17</v>
      </c>
    </row>
    <row r="17" spans="1:8" x14ac:dyDescent="0.3">
      <c r="A17" s="1">
        <v>45077</v>
      </c>
      <c r="B17" t="s">
        <v>31</v>
      </c>
      <c r="C17" t="s">
        <v>26</v>
      </c>
      <c r="D17" t="s">
        <v>17</v>
      </c>
      <c r="E17" t="s">
        <v>21</v>
      </c>
      <c r="F17">
        <v>1</v>
      </c>
      <c r="G17">
        <v>1065</v>
      </c>
      <c r="H17">
        <v>228.63</v>
      </c>
    </row>
    <row r="18" spans="1:8" x14ac:dyDescent="0.3">
      <c r="A18" s="1">
        <v>45209</v>
      </c>
      <c r="B18" t="s">
        <v>23</v>
      </c>
      <c r="C18" t="s">
        <v>22</v>
      </c>
      <c r="D18" t="s">
        <v>17</v>
      </c>
      <c r="E18" t="s">
        <v>21</v>
      </c>
      <c r="F18">
        <v>1</v>
      </c>
      <c r="G18">
        <v>570</v>
      </c>
      <c r="H18">
        <v>138.54</v>
      </c>
    </row>
    <row r="19" spans="1:8" x14ac:dyDescent="0.3">
      <c r="A19" s="1">
        <v>45083</v>
      </c>
      <c r="B19" t="s">
        <v>20</v>
      </c>
      <c r="C19" t="s">
        <v>12</v>
      </c>
      <c r="D19" t="s">
        <v>13</v>
      </c>
      <c r="E19" t="s">
        <v>18</v>
      </c>
      <c r="F19">
        <v>7</v>
      </c>
      <c r="G19">
        <v>2842</v>
      </c>
      <c r="H19">
        <v>425.24</v>
      </c>
    </row>
    <row r="20" spans="1:8" x14ac:dyDescent="0.3">
      <c r="A20" s="1">
        <v>45265</v>
      </c>
      <c r="B20" t="s">
        <v>19</v>
      </c>
      <c r="C20" t="s">
        <v>16</v>
      </c>
      <c r="D20" t="s">
        <v>17</v>
      </c>
      <c r="E20" t="s">
        <v>14</v>
      </c>
      <c r="F20">
        <v>5</v>
      </c>
      <c r="G20">
        <v>4730</v>
      </c>
      <c r="H20">
        <v>1365.63</v>
      </c>
    </row>
    <row r="21" spans="1:8" x14ac:dyDescent="0.3">
      <c r="A21" s="1">
        <v>44968</v>
      </c>
      <c r="B21" t="s">
        <v>19</v>
      </c>
      <c r="C21" t="s">
        <v>16</v>
      </c>
      <c r="D21" t="s">
        <v>17</v>
      </c>
      <c r="E21" t="s">
        <v>18</v>
      </c>
      <c r="F21">
        <v>2</v>
      </c>
      <c r="G21">
        <v>2212</v>
      </c>
      <c r="H21">
        <v>145.75</v>
      </c>
    </row>
    <row r="22" spans="1:8" x14ac:dyDescent="0.3">
      <c r="A22" s="1">
        <v>45287</v>
      </c>
      <c r="B22" t="s">
        <v>31</v>
      </c>
      <c r="C22" t="s">
        <v>16</v>
      </c>
      <c r="D22" t="s">
        <v>17</v>
      </c>
      <c r="E22" t="s">
        <v>14</v>
      </c>
      <c r="F22">
        <v>5</v>
      </c>
      <c r="G22">
        <v>740</v>
      </c>
      <c r="H22">
        <v>146.38999999999999</v>
      </c>
    </row>
    <row r="23" spans="1:8" x14ac:dyDescent="0.3">
      <c r="A23" s="1">
        <v>45204</v>
      </c>
      <c r="B23" t="s">
        <v>23</v>
      </c>
      <c r="C23" t="s">
        <v>24</v>
      </c>
      <c r="D23" t="s">
        <v>13</v>
      </c>
      <c r="E23" t="s">
        <v>10</v>
      </c>
      <c r="F23">
        <v>1</v>
      </c>
      <c r="G23">
        <v>662</v>
      </c>
      <c r="H23">
        <v>193.92</v>
      </c>
    </row>
    <row r="24" spans="1:8" x14ac:dyDescent="0.3">
      <c r="A24" s="1">
        <v>45121</v>
      </c>
      <c r="B24" t="s">
        <v>37</v>
      </c>
      <c r="C24" t="s">
        <v>26</v>
      </c>
      <c r="D24" t="s">
        <v>17</v>
      </c>
      <c r="E24" t="s">
        <v>10</v>
      </c>
      <c r="F24">
        <v>1</v>
      </c>
      <c r="G24">
        <v>851</v>
      </c>
      <c r="H24">
        <v>93.56</v>
      </c>
    </row>
    <row r="25" spans="1:8" x14ac:dyDescent="0.3">
      <c r="A25" s="1">
        <v>45125</v>
      </c>
      <c r="B25" t="s">
        <v>31</v>
      </c>
      <c r="C25" t="s">
        <v>26</v>
      </c>
      <c r="D25" t="s">
        <v>17</v>
      </c>
      <c r="E25" t="s">
        <v>10</v>
      </c>
      <c r="F25">
        <v>3</v>
      </c>
      <c r="G25">
        <v>2739</v>
      </c>
      <c r="H25">
        <v>572.73</v>
      </c>
    </row>
    <row r="26" spans="1:8" x14ac:dyDescent="0.3">
      <c r="A26" s="1">
        <v>45102</v>
      </c>
      <c r="B26" t="s">
        <v>32</v>
      </c>
      <c r="C26" t="s">
        <v>33</v>
      </c>
      <c r="D26" t="s">
        <v>13</v>
      </c>
      <c r="E26" t="s">
        <v>21</v>
      </c>
      <c r="F26">
        <v>5</v>
      </c>
      <c r="G26">
        <v>1400</v>
      </c>
      <c r="H26">
        <v>213.63</v>
      </c>
    </row>
    <row r="27" spans="1:8" x14ac:dyDescent="0.3">
      <c r="A27" s="1">
        <v>45243</v>
      </c>
      <c r="B27" t="s">
        <v>32</v>
      </c>
      <c r="C27" t="s">
        <v>8</v>
      </c>
      <c r="D27" t="s">
        <v>9</v>
      </c>
      <c r="E27" t="s">
        <v>10</v>
      </c>
      <c r="F27">
        <v>3</v>
      </c>
      <c r="G27">
        <v>3477</v>
      </c>
      <c r="H27">
        <v>939.2</v>
      </c>
    </row>
    <row r="28" spans="1:8" x14ac:dyDescent="0.3">
      <c r="A28" s="1">
        <v>45288</v>
      </c>
      <c r="B28" t="s">
        <v>23</v>
      </c>
      <c r="C28" t="s">
        <v>24</v>
      </c>
      <c r="D28" t="s">
        <v>13</v>
      </c>
      <c r="E28" t="s">
        <v>14</v>
      </c>
      <c r="F28">
        <v>7</v>
      </c>
      <c r="G28">
        <v>8155</v>
      </c>
      <c r="H28">
        <v>1587.91</v>
      </c>
    </row>
    <row r="29" spans="1:8" x14ac:dyDescent="0.3">
      <c r="A29" s="1">
        <v>45271</v>
      </c>
      <c r="B29" t="s">
        <v>36</v>
      </c>
      <c r="C29" t="s">
        <v>35</v>
      </c>
      <c r="D29" t="s">
        <v>17</v>
      </c>
      <c r="E29" t="s">
        <v>21</v>
      </c>
      <c r="F29">
        <v>9</v>
      </c>
      <c r="G29">
        <v>6138</v>
      </c>
      <c r="H29">
        <v>1562.14</v>
      </c>
    </row>
    <row r="30" spans="1:8" x14ac:dyDescent="0.3">
      <c r="A30" s="1">
        <v>45003</v>
      </c>
      <c r="B30" t="s">
        <v>34</v>
      </c>
      <c r="C30" t="s">
        <v>22</v>
      </c>
      <c r="D30" t="s">
        <v>17</v>
      </c>
      <c r="E30" t="s">
        <v>21</v>
      </c>
      <c r="F30">
        <v>5</v>
      </c>
      <c r="G30">
        <v>3665</v>
      </c>
      <c r="H30">
        <v>406.93</v>
      </c>
    </row>
    <row r="31" spans="1:8" x14ac:dyDescent="0.3">
      <c r="A31" s="1">
        <v>45127</v>
      </c>
      <c r="B31" t="s">
        <v>32</v>
      </c>
      <c r="C31" t="s">
        <v>12</v>
      </c>
      <c r="D31" t="s">
        <v>13</v>
      </c>
      <c r="E31" t="s">
        <v>18</v>
      </c>
      <c r="F31">
        <v>7</v>
      </c>
      <c r="G31">
        <v>1239</v>
      </c>
      <c r="H31">
        <v>177.39</v>
      </c>
    </row>
    <row r="32" spans="1:8" x14ac:dyDescent="0.3">
      <c r="A32" s="1">
        <v>45014</v>
      </c>
      <c r="B32" t="s">
        <v>20</v>
      </c>
      <c r="C32" t="s">
        <v>12</v>
      </c>
      <c r="D32" t="s">
        <v>13</v>
      </c>
      <c r="E32" t="s">
        <v>21</v>
      </c>
      <c r="F32">
        <v>1</v>
      </c>
      <c r="G32">
        <v>333</v>
      </c>
      <c r="H32">
        <v>72.34</v>
      </c>
    </row>
    <row r="33" spans="1:8" x14ac:dyDescent="0.3">
      <c r="A33" s="1">
        <v>44962</v>
      </c>
      <c r="B33" t="s">
        <v>32</v>
      </c>
      <c r="C33" t="s">
        <v>35</v>
      </c>
      <c r="D33" t="s">
        <v>17</v>
      </c>
      <c r="E33" t="s">
        <v>21</v>
      </c>
      <c r="F33">
        <v>5</v>
      </c>
      <c r="G33">
        <v>4325</v>
      </c>
      <c r="H33">
        <v>1023.39</v>
      </c>
    </row>
    <row r="34" spans="1:8" x14ac:dyDescent="0.3">
      <c r="A34" s="1">
        <v>45071</v>
      </c>
      <c r="B34" t="s">
        <v>32</v>
      </c>
      <c r="C34" t="s">
        <v>35</v>
      </c>
      <c r="D34" t="s">
        <v>17</v>
      </c>
      <c r="E34" t="s">
        <v>10</v>
      </c>
      <c r="F34">
        <v>8</v>
      </c>
      <c r="G34">
        <v>1224</v>
      </c>
      <c r="H34">
        <v>246.77</v>
      </c>
    </row>
    <row r="35" spans="1:8" x14ac:dyDescent="0.3">
      <c r="A35" s="1">
        <v>45189</v>
      </c>
      <c r="B35" t="s">
        <v>25</v>
      </c>
      <c r="C35" t="s">
        <v>24</v>
      </c>
      <c r="D35" t="s">
        <v>13</v>
      </c>
      <c r="E35" t="s">
        <v>14</v>
      </c>
      <c r="F35">
        <v>4</v>
      </c>
      <c r="G35">
        <v>804</v>
      </c>
      <c r="H35">
        <v>121.51</v>
      </c>
    </row>
    <row r="36" spans="1:8" x14ac:dyDescent="0.3">
      <c r="A36" s="1">
        <v>45025</v>
      </c>
      <c r="B36" t="s">
        <v>32</v>
      </c>
      <c r="C36" t="s">
        <v>35</v>
      </c>
      <c r="D36" t="s">
        <v>17</v>
      </c>
      <c r="E36" t="s">
        <v>10</v>
      </c>
      <c r="F36">
        <v>9</v>
      </c>
      <c r="G36">
        <v>10773</v>
      </c>
      <c r="H36">
        <v>1907.36</v>
      </c>
    </row>
    <row r="37" spans="1:8" x14ac:dyDescent="0.3">
      <c r="A37" s="1">
        <v>44964</v>
      </c>
      <c r="B37" t="s">
        <v>23</v>
      </c>
      <c r="C37" t="s">
        <v>24</v>
      </c>
      <c r="D37" t="s">
        <v>13</v>
      </c>
      <c r="E37" t="s">
        <v>18</v>
      </c>
      <c r="F37">
        <v>4</v>
      </c>
      <c r="G37">
        <v>3252</v>
      </c>
      <c r="H37">
        <v>713.46</v>
      </c>
    </row>
    <row r="38" spans="1:8" x14ac:dyDescent="0.3">
      <c r="A38" s="1">
        <v>45050</v>
      </c>
      <c r="B38" t="s">
        <v>37</v>
      </c>
      <c r="C38" t="s">
        <v>24</v>
      </c>
      <c r="D38" t="s">
        <v>13</v>
      </c>
      <c r="E38" t="s">
        <v>10</v>
      </c>
      <c r="F38">
        <v>3</v>
      </c>
      <c r="G38">
        <v>2739</v>
      </c>
      <c r="H38">
        <v>202.81</v>
      </c>
    </row>
    <row r="39" spans="1:8" x14ac:dyDescent="0.3">
      <c r="A39" s="1">
        <v>45034</v>
      </c>
      <c r="B39" t="s">
        <v>29</v>
      </c>
      <c r="C39" t="s">
        <v>16</v>
      </c>
      <c r="D39" t="s">
        <v>17</v>
      </c>
      <c r="E39" t="s">
        <v>18</v>
      </c>
      <c r="F39">
        <v>7</v>
      </c>
      <c r="G39">
        <v>2709</v>
      </c>
      <c r="H39">
        <v>702.79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D4CB6-A26E-40E6-896C-101D3388FF9D}">
  <dimension ref="A3:F8"/>
  <sheetViews>
    <sheetView workbookViewId="0">
      <selection activeCell="E8" sqref="E8"/>
    </sheetView>
  </sheetViews>
  <sheetFormatPr defaultRowHeight="14.4" x14ac:dyDescent="0.3"/>
  <cols>
    <col min="1" max="1" width="12.44140625" bestFit="1" customWidth="1"/>
    <col min="2" max="2" width="14.21875" bestFit="1" customWidth="1"/>
    <col min="3" max="4" width="11.5546875" bestFit="1" customWidth="1"/>
    <col min="5" max="5" width="17.88671875" bestFit="1" customWidth="1"/>
  </cols>
  <sheetData>
    <row r="3" spans="1:6" x14ac:dyDescent="0.3">
      <c r="A3" s="2" t="s">
        <v>40</v>
      </c>
      <c r="B3" t="s">
        <v>63</v>
      </c>
      <c r="C3" t="s">
        <v>42</v>
      </c>
      <c r="D3" t="s">
        <v>43</v>
      </c>
      <c r="E3" t="s">
        <v>64</v>
      </c>
    </row>
    <row r="4" spans="1:6" x14ac:dyDescent="0.3">
      <c r="A4" s="3" t="s">
        <v>60</v>
      </c>
      <c r="B4">
        <v>152</v>
      </c>
      <c r="C4">
        <v>94160</v>
      </c>
      <c r="D4">
        <v>15090.75</v>
      </c>
      <c r="E4">
        <v>0.16026709855564997</v>
      </c>
    </row>
    <row r="5" spans="1:6" x14ac:dyDescent="0.3">
      <c r="A5" s="3" t="s">
        <v>61</v>
      </c>
      <c r="B5">
        <v>169</v>
      </c>
      <c r="C5">
        <v>121789</v>
      </c>
      <c r="D5">
        <v>24371.75</v>
      </c>
      <c r="E5">
        <v>0.20011454236425294</v>
      </c>
    </row>
    <row r="6" spans="1:6" x14ac:dyDescent="0.3">
      <c r="A6" s="3" t="s">
        <v>62</v>
      </c>
      <c r="B6">
        <v>151</v>
      </c>
      <c r="C6">
        <v>92574</v>
      </c>
      <c r="D6">
        <v>13874.020000000002</v>
      </c>
      <c r="E6">
        <v>0.14986950979756739</v>
      </c>
    </row>
    <row r="7" spans="1:6" x14ac:dyDescent="0.3">
      <c r="C7" s="8"/>
      <c r="F7" s="8"/>
    </row>
    <row r="8" spans="1:6" x14ac:dyDescent="0.3">
      <c r="B8" s="8">
        <f>(GETPIVOTDATA("Sum of Quantity",$A$3,"Years (Order Date)",2023)/GETPIVOTDATA("Sum of Quantity",$A$3,"Years (Order Date)",2024)-1)</f>
        <v>0.11920529801324498</v>
      </c>
      <c r="C8" s="8">
        <f>(GETPIVOTDATA("Sum of Sales",$A$3,"Years (Order Date)",2023)/GETPIVOTDATA("Sum of Sales",$A$3,"Years (Order Date)",2024)-1)</f>
        <v>0.31558536954220417</v>
      </c>
      <c r="D8" s="8">
        <f>(GETPIVOTDATA("Sum of Profit",$A$3,"Years (Order Date)",2023)/GETPIVOTDATA("Sum of Profit",$A$3,"Years (Order Date)",2024)-1)</f>
        <v>0.75664659557936309</v>
      </c>
      <c r="E8" s="8">
        <f>(GETPIVOTDATA("Sum of Profit margin",$A$3,"Years (Order Date)",2023)/GETPIVOTDATA("Sum of Profit margin",$A$3,"Years (Order Date)",2024)-1)</f>
        <v>0.33525853680680484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C15F72-364D-4F4D-B106-4472D3400619}">
  <dimension ref="O15:R17"/>
  <sheetViews>
    <sheetView showGridLines="0" showRowColHeaders="0" topLeftCell="A4" zoomScale="80" workbookViewId="0">
      <selection activeCell="Z31" sqref="Z31"/>
    </sheetView>
  </sheetViews>
  <sheetFormatPr defaultRowHeight="14.4" x14ac:dyDescent="0.3"/>
  <sheetData>
    <row r="15" spans="15:15" x14ac:dyDescent="0.3">
      <c r="O15" s="8" t="e">
        <f>(GETPIVOTDATA("Sum of Quantity",$A$3,"Years (Order Date)",2023)/GETPIVOTDATA("Sum of Quantity",$A$3,"Years (Order Date)",2024)-1)</f>
        <v>#REF!</v>
      </c>
    </row>
    <row r="17" spans="18:18" x14ac:dyDescent="0.3">
      <c r="R17" s="8" t="e">
        <f>(GETPIVOTDATA("Sum of Profit margin",$A$3,"Years (Order Date)",2023)/GETPIVOTDATA("Sum of Profit margin",$A$3,"Years (Order Date)",2024)-1)</f>
        <v>#REF!</v>
      </c>
    </row>
  </sheetData>
  <pageMargins left="0.7" right="0.7" top="0.75" bottom="0.75" header="0.3" footer="0.3"/>
  <drawing r:id="rId1"/>
  <legacyDrawing r:id="rId2"/>
  <picture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D76E3-84F7-4C6B-9142-0ED21568DF5B}">
  <dimension ref="A1:L77"/>
  <sheetViews>
    <sheetView workbookViewId="0">
      <selection activeCell="L4" sqref="L4"/>
    </sheetView>
  </sheetViews>
  <sheetFormatPr defaultRowHeight="14.4" x14ac:dyDescent="0.3"/>
  <cols>
    <col min="1" max="1" width="12.44140625" bestFit="1" customWidth="1"/>
    <col min="2" max="3" width="11.5546875" bestFit="1" customWidth="1"/>
    <col min="11" max="11" width="12.44140625" bestFit="1" customWidth="1"/>
    <col min="12" max="14" width="11.5546875" bestFit="1" customWidth="1"/>
    <col min="15" max="15" width="12.44140625" bestFit="1" customWidth="1"/>
    <col min="16" max="16" width="11.5546875" bestFit="1" customWidth="1"/>
  </cols>
  <sheetData>
    <row r="1" spans="1:12" x14ac:dyDescent="0.3">
      <c r="A1" s="2" t="s">
        <v>40</v>
      </c>
      <c r="B1" t="s">
        <v>42</v>
      </c>
      <c r="C1" t="s">
        <v>43</v>
      </c>
    </row>
    <row r="2" spans="1:12" x14ac:dyDescent="0.3">
      <c r="A2" s="3" t="s">
        <v>44</v>
      </c>
      <c r="B2" s="4">
        <v>20414</v>
      </c>
      <c r="C2" s="4">
        <v>4829.76</v>
      </c>
    </row>
    <row r="3" spans="1:12" x14ac:dyDescent="0.3">
      <c r="A3" s="3" t="s">
        <v>45</v>
      </c>
      <c r="B3" s="4">
        <v>23238</v>
      </c>
      <c r="C3" s="4">
        <v>3724.3599999999997</v>
      </c>
      <c r="L3" t="s">
        <v>71</v>
      </c>
    </row>
    <row r="4" spans="1:12" x14ac:dyDescent="0.3">
      <c r="A4" s="3" t="s">
        <v>46</v>
      </c>
      <c r="B4" s="4">
        <v>21052</v>
      </c>
      <c r="C4" s="4">
        <v>3249.9300000000003</v>
      </c>
    </row>
    <row r="5" spans="1:12" x14ac:dyDescent="0.3">
      <c r="A5" s="3" t="s">
        <v>47</v>
      </c>
      <c r="B5" s="4">
        <v>39041</v>
      </c>
      <c r="C5" s="4">
        <v>6242.01</v>
      </c>
    </row>
    <row r="6" spans="1:12" x14ac:dyDescent="0.3">
      <c r="A6" s="3" t="s">
        <v>48</v>
      </c>
      <c r="B6" s="4">
        <v>40710</v>
      </c>
      <c r="C6" s="4">
        <v>6251.68</v>
      </c>
    </row>
    <row r="7" spans="1:12" x14ac:dyDescent="0.3">
      <c r="A7" s="3" t="s">
        <v>49</v>
      </c>
      <c r="B7" s="4">
        <v>22521</v>
      </c>
      <c r="C7" s="4">
        <v>2547.11</v>
      </c>
    </row>
    <row r="8" spans="1:12" x14ac:dyDescent="0.3">
      <c r="A8" s="3" t="s">
        <v>50</v>
      </c>
      <c r="B8" s="4">
        <v>12413</v>
      </c>
      <c r="C8" s="4">
        <v>2451.6799999999998</v>
      </c>
      <c r="L8" t="s">
        <v>70</v>
      </c>
    </row>
    <row r="9" spans="1:12" x14ac:dyDescent="0.3">
      <c r="A9" s="3" t="s">
        <v>51</v>
      </c>
      <c r="B9" s="4">
        <v>14291</v>
      </c>
      <c r="C9" s="4">
        <v>2212.67</v>
      </c>
    </row>
    <row r="10" spans="1:12" x14ac:dyDescent="0.3">
      <c r="A10" s="3" t="s">
        <v>52</v>
      </c>
      <c r="B10" s="4">
        <v>23714</v>
      </c>
      <c r="C10" s="4">
        <v>5293.8099999999995</v>
      </c>
    </row>
    <row r="11" spans="1:12" x14ac:dyDescent="0.3">
      <c r="A11" s="3" t="s">
        <v>53</v>
      </c>
      <c r="B11" s="4">
        <v>17884</v>
      </c>
      <c r="C11" s="4">
        <v>2931.83</v>
      </c>
    </row>
    <row r="12" spans="1:12" x14ac:dyDescent="0.3">
      <c r="A12" s="3" t="s">
        <v>54</v>
      </c>
      <c r="B12" s="4">
        <v>6157</v>
      </c>
      <c r="C12" s="4">
        <v>1404.62</v>
      </c>
    </row>
    <row r="13" spans="1:12" x14ac:dyDescent="0.3">
      <c r="A13" s="3" t="s">
        <v>55</v>
      </c>
      <c r="B13" s="4">
        <v>67088</v>
      </c>
      <c r="C13" s="4">
        <v>12197.06</v>
      </c>
    </row>
    <row r="14" spans="1:12" x14ac:dyDescent="0.3">
      <c r="A14" s="3" t="s">
        <v>41</v>
      </c>
      <c r="B14" s="4">
        <v>308523</v>
      </c>
      <c r="C14" s="4">
        <v>53336.52</v>
      </c>
    </row>
    <row r="16" spans="1:12" x14ac:dyDescent="0.3">
      <c r="A16" s="2" t="s">
        <v>40</v>
      </c>
      <c r="B16" t="s">
        <v>43</v>
      </c>
      <c r="C16" t="s">
        <v>56</v>
      </c>
      <c r="D16" t="s">
        <v>57</v>
      </c>
    </row>
    <row r="17" spans="1:4" x14ac:dyDescent="0.3">
      <c r="A17" s="3" t="s">
        <v>17</v>
      </c>
      <c r="B17">
        <v>24575.03</v>
      </c>
      <c r="C17" t="str">
        <f>A17</f>
        <v>Electronics</v>
      </c>
      <c r="D17">
        <f>GETPIVOTDATA("Profit",$A$16,"Category",A17)</f>
        <v>24575.03</v>
      </c>
    </row>
    <row r="18" spans="1:4" x14ac:dyDescent="0.3">
      <c r="A18" s="3" t="s">
        <v>13</v>
      </c>
      <c r="B18">
        <v>24135.989999999994</v>
      </c>
      <c r="C18" t="str">
        <f t="shared" ref="C18:C20" si="0">A18</f>
        <v>Accessories</v>
      </c>
      <c r="D18">
        <f t="shared" ref="D18:D19" si="1">GETPIVOTDATA("Profit",$A$16,"Category",A18)</f>
        <v>24135.989999999994</v>
      </c>
    </row>
    <row r="19" spans="1:4" x14ac:dyDescent="0.3">
      <c r="A19" s="3" t="s">
        <v>9</v>
      </c>
      <c r="B19">
        <v>4625.5</v>
      </c>
      <c r="C19" t="str">
        <f t="shared" si="0"/>
        <v>Office</v>
      </c>
      <c r="D19">
        <f t="shared" si="1"/>
        <v>4625.5</v>
      </c>
    </row>
    <row r="20" spans="1:4" x14ac:dyDescent="0.3">
      <c r="A20" s="3" t="s">
        <v>41</v>
      </c>
      <c r="B20">
        <v>53336.51999999999</v>
      </c>
      <c r="C20" t="str">
        <f t="shared" si="0"/>
        <v>Grand Total</v>
      </c>
      <c r="D20">
        <f>GETPIVOTDATA("Profit",$A$16)</f>
        <v>53336.51999999999</v>
      </c>
    </row>
    <row r="32" spans="1:4" x14ac:dyDescent="0.3">
      <c r="A32" s="2" t="s">
        <v>40</v>
      </c>
      <c r="B32" t="s">
        <v>42</v>
      </c>
    </row>
    <row r="33" spans="1:4" x14ac:dyDescent="0.3">
      <c r="A33" s="3" t="s">
        <v>13</v>
      </c>
      <c r="B33">
        <v>150660</v>
      </c>
    </row>
    <row r="34" spans="1:4" x14ac:dyDescent="0.3">
      <c r="A34" s="3" t="s">
        <v>17</v>
      </c>
      <c r="B34">
        <v>132131</v>
      </c>
    </row>
    <row r="35" spans="1:4" x14ac:dyDescent="0.3">
      <c r="A35" s="3" t="s">
        <v>9</v>
      </c>
      <c r="B35">
        <v>25732</v>
      </c>
    </row>
    <row r="36" spans="1:4" x14ac:dyDescent="0.3">
      <c r="A36" s="3" t="s">
        <v>41</v>
      </c>
      <c r="B36">
        <v>308523</v>
      </c>
    </row>
    <row r="46" spans="1:4" x14ac:dyDescent="0.3">
      <c r="A46" s="2" t="s">
        <v>40</v>
      </c>
      <c r="B46" t="s">
        <v>42</v>
      </c>
      <c r="C46" t="s">
        <v>58</v>
      </c>
      <c r="D46" t="s">
        <v>59</v>
      </c>
    </row>
    <row r="47" spans="1:4" x14ac:dyDescent="0.3">
      <c r="A47" s="3" t="s">
        <v>21</v>
      </c>
      <c r="B47">
        <v>93666</v>
      </c>
      <c r="C47" t="str">
        <f>A47</f>
        <v>West</v>
      </c>
      <c r="D47">
        <f>GETPIVOTDATA("Sales",$A$46,"Region",A47)</f>
        <v>93666</v>
      </c>
    </row>
    <row r="48" spans="1:4" x14ac:dyDescent="0.3">
      <c r="A48" s="3" t="s">
        <v>10</v>
      </c>
      <c r="B48">
        <v>79536</v>
      </c>
      <c r="C48" t="str">
        <f t="shared" ref="C48:C51" si="2">A48</f>
        <v>North</v>
      </c>
      <c r="D48">
        <f t="shared" ref="D48:D50" si="3">GETPIVOTDATA("Sales",$A$46,"Region",A48)</f>
        <v>79536</v>
      </c>
    </row>
    <row r="49" spans="1:12" x14ac:dyDescent="0.3">
      <c r="A49" s="3" t="s">
        <v>18</v>
      </c>
      <c r="B49">
        <v>76982</v>
      </c>
      <c r="C49" t="str">
        <f t="shared" si="2"/>
        <v>South</v>
      </c>
      <c r="D49">
        <f t="shared" si="3"/>
        <v>76982</v>
      </c>
    </row>
    <row r="50" spans="1:12" x14ac:dyDescent="0.3">
      <c r="A50" s="3" t="s">
        <v>14</v>
      </c>
      <c r="B50">
        <v>58339</v>
      </c>
      <c r="C50" t="str">
        <f t="shared" si="2"/>
        <v>East</v>
      </c>
      <c r="D50">
        <f t="shared" si="3"/>
        <v>58339</v>
      </c>
    </row>
    <row r="51" spans="1:12" x14ac:dyDescent="0.3">
      <c r="A51" s="3" t="s">
        <v>41</v>
      </c>
      <c r="B51">
        <v>308523</v>
      </c>
      <c r="C51" t="str">
        <f t="shared" si="2"/>
        <v>Grand Total</v>
      </c>
      <c r="D51">
        <f>GETPIVOTDATA("Sales",$A$46)</f>
        <v>308523</v>
      </c>
    </row>
    <row r="61" spans="1:12" x14ac:dyDescent="0.3">
      <c r="A61" s="2" t="s">
        <v>40</v>
      </c>
      <c r="B61" t="s">
        <v>43</v>
      </c>
    </row>
    <row r="62" spans="1:12" x14ac:dyDescent="0.3">
      <c r="A62" s="3" t="s">
        <v>19</v>
      </c>
      <c r="B62">
        <v>4177.6600000000008</v>
      </c>
      <c r="K62" s="2" t="s">
        <v>40</v>
      </c>
      <c r="L62" t="s">
        <v>42</v>
      </c>
    </row>
    <row r="63" spans="1:12" x14ac:dyDescent="0.3">
      <c r="A63" s="3" t="s">
        <v>36</v>
      </c>
      <c r="B63">
        <v>3101.1800000000003</v>
      </c>
      <c r="K63" s="3" t="s">
        <v>25</v>
      </c>
      <c r="L63">
        <v>25362</v>
      </c>
    </row>
    <row r="64" spans="1:12" x14ac:dyDescent="0.3">
      <c r="A64" s="3" t="s">
        <v>37</v>
      </c>
      <c r="B64">
        <v>782.46</v>
      </c>
      <c r="K64" s="3" t="s">
        <v>20</v>
      </c>
      <c r="L64">
        <v>25804</v>
      </c>
    </row>
    <row r="65" spans="1:12" x14ac:dyDescent="0.3">
      <c r="A65" s="3" t="s">
        <v>38</v>
      </c>
      <c r="B65">
        <v>1150.68</v>
      </c>
      <c r="K65" s="3" t="s">
        <v>19</v>
      </c>
      <c r="L65">
        <v>27895</v>
      </c>
    </row>
    <row r="66" spans="1:12" x14ac:dyDescent="0.3">
      <c r="A66" s="3" t="s">
        <v>20</v>
      </c>
      <c r="B66">
        <v>3978.1400000000003</v>
      </c>
      <c r="K66" s="3" t="s">
        <v>23</v>
      </c>
      <c r="L66">
        <v>34708</v>
      </c>
    </row>
    <row r="67" spans="1:12" x14ac:dyDescent="0.3">
      <c r="A67" s="3" t="s">
        <v>11</v>
      </c>
      <c r="B67">
        <v>741.71999999999991</v>
      </c>
      <c r="K67" s="3" t="s">
        <v>32</v>
      </c>
      <c r="L67">
        <v>73538</v>
      </c>
    </row>
    <row r="68" spans="1:12" x14ac:dyDescent="0.3">
      <c r="A68" s="3" t="s">
        <v>32</v>
      </c>
      <c r="B68">
        <v>14236.85</v>
      </c>
      <c r="K68" s="3" t="s">
        <v>41</v>
      </c>
      <c r="L68">
        <v>187307</v>
      </c>
    </row>
    <row r="69" spans="1:12" x14ac:dyDescent="0.3">
      <c r="A69" s="3" t="s">
        <v>25</v>
      </c>
      <c r="B69">
        <v>4233.7699999999995</v>
      </c>
    </row>
    <row r="70" spans="1:12" x14ac:dyDescent="0.3">
      <c r="A70" s="3" t="s">
        <v>29</v>
      </c>
      <c r="B70">
        <v>3382.84</v>
      </c>
    </row>
    <row r="71" spans="1:12" x14ac:dyDescent="0.3">
      <c r="A71" s="3" t="s">
        <v>28</v>
      </c>
      <c r="B71">
        <v>1910.7800000000002</v>
      </c>
    </row>
    <row r="72" spans="1:12" x14ac:dyDescent="0.3">
      <c r="A72" s="3" t="s">
        <v>15</v>
      </c>
      <c r="B72">
        <v>1580.9499999999998</v>
      </c>
    </row>
    <row r="73" spans="1:12" x14ac:dyDescent="0.3">
      <c r="A73" s="3" t="s">
        <v>34</v>
      </c>
      <c r="B73">
        <v>2824.8399999999997</v>
      </c>
    </row>
    <row r="74" spans="1:12" x14ac:dyDescent="0.3">
      <c r="A74" s="3" t="s">
        <v>39</v>
      </c>
      <c r="B74">
        <v>2093.21</v>
      </c>
    </row>
    <row r="75" spans="1:12" x14ac:dyDescent="0.3">
      <c r="A75" s="3" t="s">
        <v>31</v>
      </c>
      <c r="B75">
        <v>3683.6000000000004</v>
      </c>
    </row>
    <row r="76" spans="1:12" x14ac:dyDescent="0.3">
      <c r="A76" s="3" t="s">
        <v>23</v>
      </c>
      <c r="B76">
        <v>5457.8400000000011</v>
      </c>
    </row>
    <row r="77" spans="1:12" x14ac:dyDescent="0.3">
      <c r="A77" s="3" t="s">
        <v>41</v>
      </c>
      <c r="B77">
        <v>53336.52</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2BEE4-101B-46D6-B2A6-9438A1AE74D5}">
  <dimension ref="A1:P101"/>
  <sheetViews>
    <sheetView tabSelected="1" zoomScale="87" workbookViewId="0">
      <selection activeCell="N7" sqref="N7"/>
    </sheetView>
  </sheetViews>
  <sheetFormatPr defaultRowHeight="14.4" x14ac:dyDescent="0.3"/>
  <cols>
    <col min="1" max="1" width="13.33203125" customWidth="1"/>
    <col min="2" max="2" width="15.109375" customWidth="1"/>
    <col min="3" max="3" width="15.88671875" customWidth="1"/>
    <col min="4" max="4" width="12.33203125" customWidth="1"/>
    <col min="6" max="6" width="10" customWidth="1"/>
    <col min="7" max="7" width="11.6640625" customWidth="1"/>
    <col min="8" max="8" width="12.21875" customWidth="1"/>
    <col min="9" max="9" width="13.88671875" customWidth="1"/>
    <col min="10" max="10" width="14.33203125" bestFit="1" customWidth="1"/>
    <col min="11" max="11" width="15.77734375" bestFit="1" customWidth="1"/>
    <col min="12" max="12" width="10.33203125" bestFit="1" customWidth="1"/>
    <col min="13" max="13" width="6" bestFit="1" customWidth="1"/>
    <col min="14" max="14" width="10.5546875" bestFit="1" customWidth="1"/>
    <col min="15" max="15" width="7.33203125" bestFit="1" customWidth="1"/>
    <col min="16" max="16" width="6.33203125" bestFit="1" customWidth="1"/>
    <col min="17" max="17" width="6.6640625" bestFit="1" customWidth="1"/>
    <col min="18" max="18" width="11.21875" bestFit="1" customWidth="1"/>
    <col min="19" max="19" width="11.109375" bestFit="1" customWidth="1"/>
    <col min="20" max="20" width="6.21875" bestFit="1" customWidth="1"/>
    <col min="21" max="21" width="10.5546875" bestFit="1" customWidth="1"/>
  </cols>
  <sheetData>
    <row r="1" spans="1:16" x14ac:dyDescent="0.3">
      <c r="A1" t="s">
        <v>0</v>
      </c>
      <c r="B1" t="s">
        <v>7</v>
      </c>
      <c r="C1" t="s">
        <v>1</v>
      </c>
      <c r="D1" t="s">
        <v>2</v>
      </c>
      <c r="E1" t="s">
        <v>3</v>
      </c>
      <c r="F1" t="s">
        <v>4</v>
      </c>
      <c r="G1" t="s">
        <v>5</v>
      </c>
      <c r="H1" t="s">
        <v>6</v>
      </c>
      <c r="J1" s="2" t="s">
        <v>40</v>
      </c>
      <c r="K1" t="s">
        <v>66</v>
      </c>
      <c r="N1" t="s">
        <v>72</v>
      </c>
      <c r="O1">
        <f>SUMIF(Table1[Product Name],N1,Table1[Sales])</f>
        <v>55204</v>
      </c>
      <c r="P1" t="s">
        <v>67</v>
      </c>
    </row>
    <row r="2" spans="1:16" x14ac:dyDescent="0.3">
      <c r="A2" s="1">
        <v>45657</v>
      </c>
      <c r="B2" t="s">
        <v>11</v>
      </c>
      <c r="C2" t="s">
        <v>8</v>
      </c>
      <c r="D2" t="s">
        <v>9</v>
      </c>
      <c r="E2" t="s">
        <v>10</v>
      </c>
      <c r="F2">
        <v>4</v>
      </c>
      <c r="G2">
        <v>3640</v>
      </c>
      <c r="H2">
        <v>348.93</v>
      </c>
      <c r="J2" s="3" t="s">
        <v>19</v>
      </c>
      <c r="K2">
        <v>13</v>
      </c>
    </row>
    <row r="3" spans="1:16" x14ac:dyDescent="0.3">
      <c r="A3" s="1">
        <v>44892</v>
      </c>
      <c r="B3" t="s">
        <v>15</v>
      </c>
      <c r="C3" t="s">
        <v>12</v>
      </c>
      <c r="D3" t="s">
        <v>13</v>
      </c>
      <c r="E3" t="s">
        <v>14</v>
      </c>
      <c r="F3">
        <v>7</v>
      </c>
      <c r="G3">
        <v>1197</v>
      </c>
      <c r="H3">
        <v>106.53</v>
      </c>
      <c r="J3" s="9" t="s">
        <v>35</v>
      </c>
      <c r="K3">
        <v>2</v>
      </c>
      <c r="O3">
        <f>COUNTIF(F1:F101,"&lt;5")</f>
        <v>45</v>
      </c>
      <c r="P3" t="s">
        <v>68</v>
      </c>
    </row>
    <row r="4" spans="1:16" x14ac:dyDescent="0.3">
      <c r="A4" s="1">
        <v>44692</v>
      </c>
      <c r="B4" t="s">
        <v>19</v>
      </c>
      <c r="C4" t="s">
        <v>16</v>
      </c>
      <c r="D4" t="s">
        <v>17</v>
      </c>
      <c r="E4" t="s">
        <v>18</v>
      </c>
      <c r="F4">
        <v>5</v>
      </c>
      <c r="G4">
        <v>5865</v>
      </c>
      <c r="H4">
        <v>502.73</v>
      </c>
      <c r="J4" s="9" t="s">
        <v>30</v>
      </c>
      <c r="K4">
        <v>2</v>
      </c>
    </row>
    <row r="5" spans="1:16" x14ac:dyDescent="0.3">
      <c r="A5" s="1">
        <v>45367</v>
      </c>
      <c r="B5" t="s">
        <v>20</v>
      </c>
      <c r="C5" t="s">
        <v>12</v>
      </c>
      <c r="D5" t="s">
        <v>13</v>
      </c>
      <c r="E5" t="s">
        <v>18</v>
      </c>
      <c r="F5">
        <v>2</v>
      </c>
      <c r="G5">
        <v>786</v>
      </c>
      <c r="H5">
        <v>202.87</v>
      </c>
      <c r="J5" s="9" t="s">
        <v>26</v>
      </c>
      <c r="K5">
        <v>4</v>
      </c>
    </row>
    <row r="6" spans="1:16" x14ac:dyDescent="0.3">
      <c r="A6" s="1">
        <v>44814</v>
      </c>
      <c r="B6" t="s">
        <v>15</v>
      </c>
      <c r="C6" t="s">
        <v>12</v>
      </c>
      <c r="D6" t="s">
        <v>13</v>
      </c>
      <c r="E6" t="s">
        <v>21</v>
      </c>
      <c r="F6">
        <v>1</v>
      </c>
      <c r="G6">
        <v>509</v>
      </c>
      <c r="H6">
        <v>103.28</v>
      </c>
      <c r="J6" s="9" t="s">
        <v>16</v>
      </c>
      <c r="K6">
        <v>5</v>
      </c>
      <c r="N6" t="s">
        <v>30</v>
      </c>
      <c r="O6">
        <f>SUMIF(C2:C101,N6,G1:G101)</f>
        <v>17237</v>
      </c>
    </row>
    <row r="7" spans="1:16" x14ac:dyDescent="0.3">
      <c r="A7" s="1">
        <v>45261</v>
      </c>
      <c r="B7" t="s">
        <v>23</v>
      </c>
      <c r="C7" t="s">
        <v>22</v>
      </c>
      <c r="D7" t="s">
        <v>17</v>
      </c>
      <c r="E7" t="s">
        <v>21</v>
      </c>
      <c r="F7">
        <v>1</v>
      </c>
      <c r="G7">
        <v>524</v>
      </c>
      <c r="H7">
        <v>106.35</v>
      </c>
      <c r="J7" s="3" t="s">
        <v>36</v>
      </c>
      <c r="K7">
        <v>3</v>
      </c>
    </row>
    <row r="8" spans="1:16" x14ac:dyDescent="0.3">
      <c r="A8" s="1">
        <v>45208</v>
      </c>
      <c r="B8" t="s">
        <v>25</v>
      </c>
      <c r="C8" t="s">
        <v>24</v>
      </c>
      <c r="D8" t="s">
        <v>13</v>
      </c>
      <c r="E8" t="s">
        <v>10</v>
      </c>
      <c r="F8">
        <v>7</v>
      </c>
      <c r="G8">
        <v>6167</v>
      </c>
      <c r="H8">
        <v>1027.98</v>
      </c>
      <c r="J8" s="9" t="s">
        <v>35</v>
      </c>
      <c r="K8">
        <v>3</v>
      </c>
    </row>
    <row r="9" spans="1:16" x14ac:dyDescent="0.3">
      <c r="A9" s="1">
        <v>44575</v>
      </c>
      <c r="B9" t="s">
        <v>23</v>
      </c>
      <c r="C9" t="s">
        <v>22</v>
      </c>
      <c r="D9" t="s">
        <v>17</v>
      </c>
      <c r="E9" t="s">
        <v>18</v>
      </c>
      <c r="F9">
        <v>7</v>
      </c>
      <c r="G9">
        <v>3059</v>
      </c>
      <c r="H9">
        <v>873.5</v>
      </c>
      <c r="J9" s="3" t="s">
        <v>37</v>
      </c>
      <c r="K9">
        <v>3</v>
      </c>
    </row>
    <row r="10" spans="1:16" x14ac:dyDescent="0.3">
      <c r="A10" s="1">
        <v>44653</v>
      </c>
      <c r="B10" t="s">
        <v>19</v>
      </c>
      <c r="C10" t="s">
        <v>26</v>
      </c>
      <c r="D10" t="s">
        <v>17</v>
      </c>
      <c r="E10" t="s">
        <v>14</v>
      </c>
      <c r="F10">
        <v>9</v>
      </c>
      <c r="G10">
        <v>5526</v>
      </c>
      <c r="H10">
        <v>595.28</v>
      </c>
      <c r="J10" s="9" t="s">
        <v>24</v>
      </c>
      <c r="K10">
        <v>1</v>
      </c>
    </row>
    <row r="11" spans="1:16" x14ac:dyDescent="0.3">
      <c r="A11" s="1">
        <v>45587</v>
      </c>
      <c r="B11" t="s">
        <v>11</v>
      </c>
      <c r="C11" t="s">
        <v>8</v>
      </c>
      <c r="D11" t="s">
        <v>9</v>
      </c>
      <c r="E11" t="s">
        <v>18</v>
      </c>
      <c r="F11">
        <v>8</v>
      </c>
      <c r="G11">
        <v>672</v>
      </c>
      <c r="H11">
        <v>186.37</v>
      </c>
      <c r="J11" s="9" t="s">
        <v>26</v>
      </c>
      <c r="K11">
        <v>2</v>
      </c>
    </row>
    <row r="12" spans="1:16" x14ac:dyDescent="0.3">
      <c r="A12" s="1">
        <v>45264</v>
      </c>
      <c r="B12" t="s">
        <v>28</v>
      </c>
      <c r="C12" t="s">
        <v>27</v>
      </c>
      <c r="D12" t="s">
        <v>13</v>
      </c>
      <c r="E12" t="s">
        <v>18</v>
      </c>
      <c r="F12">
        <v>6</v>
      </c>
      <c r="G12">
        <v>7074</v>
      </c>
      <c r="H12">
        <v>1357.68</v>
      </c>
      <c r="J12" s="3" t="s">
        <v>38</v>
      </c>
      <c r="K12">
        <v>3</v>
      </c>
    </row>
    <row r="13" spans="1:16" x14ac:dyDescent="0.3">
      <c r="A13" s="1">
        <v>44831</v>
      </c>
      <c r="B13" t="s">
        <v>19</v>
      </c>
      <c r="C13" t="s">
        <v>26</v>
      </c>
      <c r="D13" t="s">
        <v>17</v>
      </c>
      <c r="E13" t="s">
        <v>14</v>
      </c>
      <c r="F13">
        <v>2</v>
      </c>
      <c r="G13">
        <v>502</v>
      </c>
      <c r="H13">
        <v>137.4</v>
      </c>
      <c r="J13" s="9" t="s">
        <v>22</v>
      </c>
      <c r="K13">
        <v>1</v>
      </c>
    </row>
    <row r="14" spans="1:16" x14ac:dyDescent="0.3">
      <c r="A14" s="1">
        <v>45281</v>
      </c>
      <c r="B14" t="s">
        <v>29</v>
      </c>
      <c r="C14" t="s">
        <v>16</v>
      </c>
      <c r="D14" t="s">
        <v>17</v>
      </c>
      <c r="E14" t="s">
        <v>10</v>
      </c>
      <c r="F14">
        <v>7</v>
      </c>
      <c r="G14">
        <v>7462</v>
      </c>
      <c r="H14">
        <v>2166.17</v>
      </c>
      <c r="J14" s="9" t="s">
        <v>8</v>
      </c>
      <c r="K14">
        <v>2</v>
      </c>
    </row>
    <row r="15" spans="1:16" x14ac:dyDescent="0.3">
      <c r="A15" s="1">
        <v>45325</v>
      </c>
      <c r="B15" t="s">
        <v>31</v>
      </c>
      <c r="C15" t="s">
        <v>30</v>
      </c>
      <c r="D15" t="s">
        <v>17</v>
      </c>
      <c r="E15" t="s">
        <v>21</v>
      </c>
      <c r="F15">
        <v>5</v>
      </c>
      <c r="G15">
        <v>4205</v>
      </c>
      <c r="H15">
        <v>585.29</v>
      </c>
      <c r="J15" s="3" t="s">
        <v>20</v>
      </c>
      <c r="K15">
        <v>8</v>
      </c>
    </row>
    <row r="16" spans="1:16" x14ac:dyDescent="0.3">
      <c r="A16" s="1">
        <v>45209</v>
      </c>
      <c r="B16" t="s">
        <v>23</v>
      </c>
      <c r="C16" t="s">
        <v>22</v>
      </c>
      <c r="D16" t="s">
        <v>17</v>
      </c>
      <c r="E16" t="s">
        <v>21</v>
      </c>
      <c r="F16">
        <v>1</v>
      </c>
      <c r="G16">
        <v>570</v>
      </c>
      <c r="H16">
        <v>138.54</v>
      </c>
      <c r="J16" s="9" t="s">
        <v>35</v>
      </c>
      <c r="K16">
        <v>1</v>
      </c>
    </row>
    <row r="17" spans="1:11" x14ac:dyDescent="0.3">
      <c r="A17" s="1">
        <v>44850</v>
      </c>
      <c r="B17" t="s">
        <v>23</v>
      </c>
      <c r="D17" t="s">
        <v>13</v>
      </c>
      <c r="E17" t="s">
        <v>14</v>
      </c>
      <c r="F17">
        <v>1</v>
      </c>
      <c r="G17">
        <v>441</v>
      </c>
      <c r="H17">
        <v>102.42</v>
      </c>
      <c r="J17" s="9" t="s">
        <v>27</v>
      </c>
      <c r="K17">
        <v>1</v>
      </c>
    </row>
    <row r="18" spans="1:11" x14ac:dyDescent="0.3">
      <c r="A18" s="1">
        <v>44696</v>
      </c>
      <c r="B18" t="s">
        <v>15</v>
      </c>
      <c r="C18" t="s">
        <v>12</v>
      </c>
      <c r="D18" t="s">
        <v>13</v>
      </c>
      <c r="E18" t="s">
        <v>10</v>
      </c>
      <c r="F18">
        <v>7</v>
      </c>
      <c r="G18">
        <v>7469</v>
      </c>
      <c r="H18">
        <v>589.80999999999995</v>
      </c>
      <c r="J18" s="9" t="s">
        <v>12</v>
      </c>
      <c r="K18">
        <v>6</v>
      </c>
    </row>
    <row r="19" spans="1:11" x14ac:dyDescent="0.3">
      <c r="A19" s="1">
        <v>44968</v>
      </c>
      <c r="B19" t="s">
        <v>19</v>
      </c>
      <c r="C19" t="s">
        <v>16</v>
      </c>
      <c r="D19" t="s">
        <v>17</v>
      </c>
      <c r="E19" t="s">
        <v>18</v>
      </c>
      <c r="F19">
        <v>2</v>
      </c>
      <c r="G19">
        <v>2212</v>
      </c>
      <c r="H19">
        <v>145.75</v>
      </c>
      <c r="J19" s="3" t="s">
        <v>11</v>
      </c>
      <c r="K19">
        <v>3</v>
      </c>
    </row>
    <row r="20" spans="1:11" x14ac:dyDescent="0.3">
      <c r="A20" s="1">
        <v>45287</v>
      </c>
      <c r="B20" t="s">
        <v>31</v>
      </c>
      <c r="C20" t="s">
        <v>16</v>
      </c>
      <c r="D20" t="s">
        <v>17</v>
      </c>
      <c r="E20" t="s">
        <v>14</v>
      </c>
      <c r="F20">
        <v>5</v>
      </c>
      <c r="G20">
        <v>740</v>
      </c>
      <c r="H20">
        <v>146.38999999999999</v>
      </c>
      <c r="J20" s="9" t="s">
        <v>8</v>
      </c>
      <c r="K20">
        <v>3</v>
      </c>
    </row>
    <row r="21" spans="1:11" x14ac:dyDescent="0.3">
      <c r="A21" s="1">
        <v>45204</v>
      </c>
      <c r="B21" t="s">
        <v>23</v>
      </c>
      <c r="C21" t="s">
        <v>24</v>
      </c>
      <c r="D21" t="s">
        <v>13</v>
      </c>
      <c r="E21" t="s">
        <v>10</v>
      </c>
      <c r="F21">
        <v>1</v>
      </c>
      <c r="G21">
        <v>662</v>
      </c>
      <c r="H21">
        <v>193.92</v>
      </c>
      <c r="J21" s="3" t="s">
        <v>32</v>
      </c>
      <c r="K21">
        <v>20</v>
      </c>
    </row>
    <row r="22" spans="1:11" x14ac:dyDescent="0.3">
      <c r="A22" s="1">
        <v>45356</v>
      </c>
      <c r="B22" t="s">
        <v>32</v>
      </c>
      <c r="C22" t="s">
        <v>12</v>
      </c>
      <c r="D22" t="s">
        <v>13</v>
      </c>
      <c r="E22" t="s">
        <v>10</v>
      </c>
      <c r="F22">
        <v>7</v>
      </c>
      <c r="G22">
        <v>5712</v>
      </c>
      <c r="H22">
        <v>651.27</v>
      </c>
      <c r="J22" s="9" t="s">
        <v>33</v>
      </c>
      <c r="K22">
        <v>4</v>
      </c>
    </row>
    <row r="23" spans="1:11" x14ac:dyDescent="0.3">
      <c r="A23" s="1">
        <v>45125</v>
      </c>
      <c r="B23" t="s">
        <v>31</v>
      </c>
      <c r="C23" t="s">
        <v>26</v>
      </c>
      <c r="D23" t="s">
        <v>17</v>
      </c>
      <c r="E23" t="s">
        <v>10</v>
      </c>
      <c r="F23">
        <v>3</v>
      </c>
      <c r="G23">
        <v>2739</v>
      </c>
      <c r="H23">
        <v>572.73</v>
      </c>
      <c r="J23" s="9" t="s">
        <v>35</v>
      </c>
      <c r="K23">
        <v>5</v>
      </c>
    </row>
    <row r="24" spans="1:11" x14ac:dyDescent="0.3">
      <c r="A24" s="1">
        <v>45102</v>
      </c>
      <c r="B24" t="s">
        <v>32</v>
      </c>
      <c r="C24" t="s">
        <v>33</v>
      </c>
      <c r="D24" t="s">
        <v>13</v>
      </c>
      <c r="E24" t="s">
        <v>21</v>
      </c>
      <c r="F24">
        <v>5</v>
      </c>
      <c r="G24">
        <v>1400</v>
      </c>
      <c r="H24">
        <v>213.63</v>
      </c>
      <c r="J24" s="9" t="s">
        <v>12</v>
      </c>
      <c r="K24">
        <v>6</v>
      </c>
    </row>
    <row r="25" spans="1:11" x14ac:dyDescent="0.3">
      <c r="A25" s="1">
        <v>45243</v>
      </c>
      <c r="B25" t="s">
        <v>32</v>
      </c>
      <c r="C25" t="s">
        <v>8</v>
      </c>
      <c r="D25" t="s">
        <v>9</v>
      </c>
      <c r="E25" t="s">
        <v>10</v>
      </c>
      <c r="F25">
        <v>3</v>
      </c>
      <c r="G25">
        <v>3477</v>
      </c>
      <c r="H25">
        <v>939.2</v>
      </c>
      <c r="J25" s="9" t="s">
        <v>8</v>
      </c>
      <c r="K25">
        <v>5</v>
      </c>
    </row>
    <row r="26" spans="1:11" x14ac:dyDescent="0.3">
      <c r="A26" s="1">
        <v>44751</v>
      </c>
      <c r="B26" t="s">
        <v>34</v>
      </c>
      <c r="C26" t="s">
        <v>22</v>
      </c>
      <c r="D26" t="s">
        <v>17</v>
      </c>
      <c r="E26" t="s">
        <v>10</v>
      </c>
      <c r="F26">
        <v>5</v>
      </c>
      <c r="G26">
        <v>3475</v>
      </c>
      <c r="H26">
        <v>570.36</v>
      </c>
      <c r="J26" s="3" t="s">
        <v>25</v>
      </c>
      <c r="K26">
        <v>6</v>
      </c>
    </row>
    <row r="27" spans="1:11" x14ac:dyDescent="0.3">
      <c r="A27" s="1">
        <v>45271</v>
      </c>
      <c r="B27" t="s">
        <v>36</v>
      </c>
      <c r="C27" t="s">
        <v>35</v>
      </c>
      <c r="D27" t="s">
        <v>17</v>
      </c>
      <c r="E27" t="s">
        <v>21</v>
      </c>
      <c r="F27">
        <v>9</v>
      </c>
      <c r="G27">
        <v>6138</v>
      </c>
      <c r="H27">
        <v>1562.14</v>
      </c>
      <c r="J27" s="9" t="s">
        <v>24</v>
      </c>
      <c r="K27">
        <v>6</v>
      </c>
    </row>
    <row r="28" spans="1:11" x14ac:dyDescent="0.3">
      <c r="A28" s="1">
        <v>45003</v>
      </c>
      <c r="B28" t="s">
        <v>34</v>
      </c>
      <c r="C28" t="s">
        <v>22</v>
      </c>
      <c r="D28" t="s">
        <v>17</v>
      </c>
      <c r="E28" t="s">
        <v>21</v>
      </c>
      <c r="F28">
        <v>5</v>
      </c>
      <c r="G28">
        <v>3665</v>
      </c>
      <c r="H28">
        <v>406.93</v>
      </c>
      <c r="J28" s="3" t="s">
        <v>29</v>
      </c>
      <c r="K28">
        <v>5</v>
      </c>
    </row>
    <row r="29" spans="1:11" x14ac:dyDescent="0.3">
      <c r="A29" s="1">
        <v>45513</v>
      </c>
      <c r="B29" t="s">
        <v>11</v>
      </c>
      <c r="C29" t="s">
        <v>8</v>
      </c>
      <c r="D29" t="s">
        <v>9</v>
      </c>
      <c r="E29" t="s">
        <v>10</v>
      </c>
      <c r="F29">
        <v>2</v>
      </c>
      <c r="G29">
        <v>2372</v>
      </c>
      <c r="H29">
        <v>206.42</v>
      </c>
      <c r="J29" s="9" t="s">
        <v>35</v>
      </c>
      <c r="K29">
        <v>2</v>
      </c>
    </row>
    <row r="30" spans="1:11" x14ac:dyDescent="0.3">
      <c r="A30" s="1">
        <v>45416</v>
      </c>
      <c r="B30" t="s">
        <v>29</v>
      </c>
      <c r="C30" t="s">
        <v>35</v>
      </c>
      <c r="D30" t="s">
        <v>17</v>
      </c>
      <c r="E30" t="s">
        <v>10</v>
      </c>
      <c r="F30">
        <v>2</v>
      </c>
      <c r="G30">
        <v>1382</v>
      </c>
      <c r="H30">
        <v>211.11</v>
      </c>
      <c r="J30" s="9" t="s">
        <v>16</v>
      </c>
      <c r="K30">
        <v>3</v>
      </c>
    </row>
    <row r="31" spans="1:11" x14ac:dyDescent="0.3">
      <c r="A31" s="1">
        <v>44808</v>
      </c>
      <c r="B31" t="s">
        <v>36</v>
      </c>
      <c r="C31" t="s">
        <v>35</v>
      </c>
      <c r="D31" t="s">
        <v>17</v>
      </c>
      <c r="E31" t="s">
        <v>21</v>
      </c>
      <c r="F31">
        <v>1</v>
      </c>
      <c r="G31">
        <v>1126</v>
      </c>
      <c r="H31">
        <v>194.08</v>
      </c>
      <c r="J31" s="3" t="s">
        <v>28</v>
      </c>
      <c r="K31">
        <v>2</v>
      </c>
    </row>
    <row r="32" spans="1:11" x14ac:dyDescent="0.3">
      <c r="A32" s="1">
        <v>44855</v>
      </c>
      <c r="B32" t="s">
        <v>32</v>
      </c>
      <c r="C32" t="s">
        <v>8</v>
      </c>
      <c r="D32" t="s">
        <v>9</v>
      </c>
      <c r="E32" t="s">
        <v>21</v>
      </c>
      <c r="F32">
        <v>8</v>
      </c>
      <c r="G32">
        <v>1376</v>
      </c>
      <c r="H32">
        <v>152.1</v>
      </c>
      <c r="J32" s="9" t="s">
        <v>27</v>
      </c>
      <c r="K32">
        <v>2</v>
      </c>
    </row>
    <row r="33" spans="1:11" x14ac:dyDescent="0.3">
      <c r="A33" s="1">
        <v>45313</v>
      </c>
      <c r="B33" t="s">
        <v>15</v>
      </c>
      <c r="C33" t="s">
        <v>12</v>
      </c>
      <c r="D33" t="s">
        <v>13</v>
      </c>
      <c r="E33" t="s">
        <v>21</v>
      </c>
      <c r="F33">
        <v>4</v>
      </c>
      <c r="G33">
        <v>988</v>
      </c>
      <c r="H33">
        <v>147.91</v>
      </c>
      <c r="J33" s="3" t="s">
        <v>15</v>
      </c>
      <c r="K33">
        <v>6</v>
      </c>
    </row>
    <row r="34" spans="1:11" x14ac:dyDescent="0.3">
      <c r="A34" s="1">
        <v>45025</v>
      </c>
      <c r="B34" t="s">
        <v>32</v>
      </c>
      <c r="C34" t="s">
        <v>35</v>
      </c>
      <c r="D34" t="s">
        <v>17</v>
      </c>
      <c r="E34" t="s">
        <v>10</v>
      </c>
      <c r="F34">
        <v>9</v>
      </c>
      <c r="G34">
        <v>10773</v>
      </c>
      <c r="H34">
        <v>1907.36</v>
      </c>
      <c r="J34" s="9" t="s">
        <v>12</v>
      </c>
      <c r="K34">
        <v>6</v>
      </c>
    </row>
    <row r="35" spans="1:11" x14ac:dyDescent="0.3">
      <c r="A35" s="1">
        <v>44964</v>
      </c>
      <c r="B35" t="s">
        <v>23</v>
      </c>
      <c r="C35" t="s">
        <v>24</v>
      </c>
      <c r="D35" t="s">
        <v>13</v>
      </c>
      <c r="E35" t="s">
        <v>18</v>
      </c>
      <c r="F35">
        <v>4</v>
      </c>
      <c r="G35">
        <v>3252</v>
      </c>
      <c r="H35">
        <v>713.46</v>
      </c>
      <c r="J35" s="3" t="s">
        <v>34</v>
      </c>
      <c r="K35">
        <v>5</v>
      </c>
    </row>
    <row r="36" spans="1:11" x14ac:dyDescent="0.3">
      <c r="A36" s="1">
        <v>45050</v>
      </c>
      <c r="B36" t="s">
        <v>37</v>
      </c>
      <c r="C36" t="s">
        <v>24</v>
      </c>
      <c r="D36" t="s">
        <v>13</v>
      </c>
      <c r="E36" t="s">
        <v>10</v>
      </c>
      <c r="F36">
        <v>3</v>
      </c>
      <c r="G36">
        <v>2739</v>
      </c>
      <c r="H36">
        <v>202.81</v>
      </c>
      <c r="J36" s="9" t="s">
        <v>22</v>
      </c>
      <c r="K36">
        <v>5</v>
      </c>
    </row>
    <row r="37" spans="1:11" x14ac:dyDescent="0.3">
      <c r="A37" s="1">
        <v>45034</v>
      </c>
      <c r="B37" t="s">
        <v>29</v>
      </c>
      <c r="C37" t="s">
        <v>16</v>
      </c>
      <c r="D37" t="s">
        <v>17</v>
      </c>
      <c r="E37" t="s">
        <v>18</v>
      </c>
      <c r="F37">
        <v>7</v>
      </c>
      <c r="G37">
        <v>2709</v>
      </c>
      <c r="H37">
        <v>702.79</v>
      </c>
      <c r="J37" s="3" t="s">
        <v>39</v>
      </c>
      <c r="K37">
        <v>2</v>
      </c>
    </row>
    <row r="38" spans="1:11" x14ac:dyDescent="0.3">
      <c r="A38" s="1">
        <v>44907</v>
      </c>
      <c r="B38" t="s">
        <v>38</v>
      </c>
      <c r="C38" t="s">
        <v>8</v>
      </c>
      <c r="D38" t="s">
        <v>9</v>
      </c>
      <c r="E38" t="s">
        <v>21</v>
      </c>
      <c r="F38">
        <v>3</v>
      </c>
      <c r="G38">
        <v>936</v>
      </c>
      <c r="H38">
        <v>201.24</v>
      </c>
      <c r="J38" s="9" t="s">
        <v>30</v>
      </c>
      <c r="K38">
        <v>2</v>
      </c>
    </row>
    <row r="39" spans="1:11" x14ac:dyDescent="0.3">
      <c r="A39" s="1">
        <v>44815</v>
      </c>
      <c r="B39" t="s">
        <v>38</v>
      </c>
      <c r="C39" t="s">
        <v>22</v>
      </c>
      <c r="D39" t="s">
        <v>17</v>
      </c>
      <c r="E39" t="s">
        <v>21</v>
      </c>
      <c r="F39">
        <v>4</v>
      </c>
      <c r="G39">
        <v>3720</v>
      </c>
      <c r="H39">
        <v>410.92</v>
      </c>
      <c r="J39" s="3" t="s">
        <v>31</v>
      </c>
      <c r="K39">
        <v>10</v>
      </c>
    </row>
    <row r="40" spans="1:11" x14ac:dyDescent="0.3">
      <c r="A40" s="1">
        <v>45377</v>
      </c>
      <c r="B40" t="s">
        <v>32</v>
      </c>
      <c r="C40" t="s">
        <v>12</v>
      </c>
      <c r="D40" t="s">
        <v>13</v>
      </c>
      <c r="E40" t="s">
        <v>21</v>
      </c>
      <c r="F40">
        <v>5</v>
      </c>
      <c r="G40">
        <v>5320</v>
      </c>
      <c r="H40">
        <v>716.91</v>
      </c>
      <c r="J40" s="9" t="s">
        <v>27</v>
      </c>
      <c r="K40">
        <v>3</v>
      </c>
    </row>
    <row r="41" spans="1:11" x14ac:dyDescent="0.3">
      <c r="A41" s="1">
        <v>45189</v>
      </c>
      <c r="B41" t="s">
        <v>25</v>
      </c>
      <c r="C41" t="s">
        <v>24</v>
      </c>
      <c r="D41" t="s">
        <v>13</v>
      </c>
      <c r="E41" t="s">
        <v>14</v>
      </c>
      <c r="F41">
        <v>4</v>
      </c>
      <c r="G41">
        <v>804</v>
      </c>
      <c r="H41">
        <v>121.51</v>
      </c>
      <c r="J41" s="9" t="s">
        <v>30</v>
      </c>
      <c r="K41">
        <v>1</v>
      </c>
    </row>
    <row r="42" spans="1:11" x14ac:dyDescent="0.3">
      <c r="A42" s="1">
        <v>45071</v>
      </c>
      <c r="B42" t="s">
        <v>32</v>
      </c>
      <c r="C42" t="s">
        <v>35</v>
      </c>
      <c r="D42" t="s">
        <v>17</v>
      </c>
      <c r="E42" t="s">
        <v>10</v>
      </c>
      <c r="F42">
        <v>8</v>
      </c>
      <c r="G42">
        <v>1224</v>
      </c>
      <c r="H42">
        <v>246.77</v>
      </c>
      <c r="J42" s="9" t="s">
        <v>26</v>
      </c>
      <c r="K42">
        <v>5</v>
      </c>
    </row>
    <row r="43" spans="1:11" x14ac:dyDescent="0.3">
      <c r="A43" s="1">
        <v>44899</v>
      </c>
      <c r="B43" t="s">
        <v>25</v>
      </c>
      <c r="C43" t="s">
        <v>24</v>
      </c>
      <c r="D43" t="s">
        <v>13</v>
      </c>
      <c r="E43" t="s">
        <v>18</v>
      </c>
      <c r="F43">
        <v>9</v>
      </c>
      <c r="G43">
        <v>8667</v>
      </c>
      <c r="H43">
        <v>781.78</v>
      </c>
      <c r="J43" s="9" t="s">
        <v>16</v>
      </c>
      <c r="K43">
        <v>1</v>
      </c>
    </row>
    <row r="44" spans="1:11" x14ac:dyDescent="0.3">
      <c r="A44" s="1">
        <v>44722</v>
      </c>
      <c r="B44" t="s">
        <v>31</v>
      </c>
      <c r="C44" t="s">
        <v>27</v>
      </c>
      <c r="D44" t="s">
        <v>13</v>
      </c>
      <c r="E44" t="s">
        <v>21</v>
      </c>
      <c r="F44">
        <v>3</v>
      </c>
      <c r="G44">
        <v>3018</v>
      </c>
      <c r="H44">
        <v>320.11</v>
      </c>
      <c r="J44" s="3" t="s">
        <v>23</v>
      </c>
      <c r="K44">
        <v>11</v>
      </c>
    </row>
    <row r="45" spans="1:11" x14ac:dyDescent="0.3">
      <c r="A45" s="1">
        <v>44962</v>
      </c>
      <c r="B45" t="s">
        <v>32</v>
      </c>
      <c r="C45" t="s">
        <v>35</v>
      </c>
      <c r="D45" t="s">
        <v>17</v>
      </c>
      <c r="E45" t="s">
        <v>21</v>
      </c>
      <c r="F45">
        <v>5</v>
      </c>
      <c r="G45">
        <v>4325</v>
      </c>
      <c r="H45">
        <v>1023.39</v>
      </c>
      <c r="J45" s="9" t="s">
        <v>22</v>
      </c>
      <c r="K45">
        <v>3</v>
      </c>
    </row>
    <row r="46" spans="1:11" x14ac:dyDescent="0.3">
      <c r="A46" s="1">
        <v>45311</v>
      </c>
      <c r="B46" t="s">
        <v>29</v>
      </c>
      <c r="C46" t="s">
        <v>35</v>
      </c>
      <c r="D46" t="s">
        <v>17</v>
      </c>
      <c r="E46" t="s">
        <v>18</v>
      </c>
      <c r="F46">
        <v>3</v>
      </c>
      <c r="G46">
        <v>1557</v>
      </c>
      <c r="H46">
        <v>181.08</v>
      </c>
      <c r="J46" s="9" t="s">
        <v>24</v>
      </c>
      <c r="K46">
        <v>8</v>
      </c>
    </row>
    <row r="47" spans="1:11" x14ac:dyDescent="0.3">
      <c r="A47" s="1">
        <v>44588</v>
      </c>
      <c r="B47" t="s">
        <v>31</v>
      </c>
      <c r="C47" t="s">
        <v>27</v>
      </c>
      <c r="D47" t="s">
        <v>13</v>
      </c>
      <c r="E47" t="s">
        <v>18</v>
      </c>
      <c r="F47">
        <v>6</v>
      </c>
      <c r="G47">
        <v>3672</v>
      </c>
      <c r="H47">
        <v>1002.5</v>
      </c>
      <c r="J47" s="3" t="s">
        <v>41</v>
      </c>
      <c r="K47">
        <v>100</v>
      </c>
    </row>
    <row r="48" spans="1:11" x14ac:dyDescent="0.3">
      <c r="A48" s="1">
        <v>45014</v>
      </c>
      <c r="B48" t="s">
        <v>20</v>
      </c>
      <c r="C48" t="s">
        <v>12</v>
      </c>
      <c r="D48" t="s">
        <v>13</v>
      </c>
      <c r="E48" t="s">
        <v>21</v>
      </c>
      <c r="F48">
        <v>1</v>
      </c>
      <c r="G48">
        <v>333</v>
      </c>
      <c r="H48">
        <v>72.34</v>
      </c>
    </row>
    <row r="49" spans="1:8" x14ac:dyDescent="0.3">
      <c r="A49" s="1">
        <v>44578</v>
      </c>
      <c r="B49" t="s">
        <v>25</v>
      </c>
      <c r="C49" t="s">
        <v>24</v>
      </c>
      <c r="D49" t="s">
        <v>13</v>
      </c>
      <c r="E49" t="s">
        <v>21</v>
      </c>
      <c r="F49">
        <v>4</v>
      </c>
      <c r="G49">
        <v>2384</v>
      </c>
      <c r="H49">
        <v>577.26</v>
      </c>
    </row>
    <row r="50" spans="1:8" x14ac:dyDescent="0.3">
      <c r="A50" s="1">
        <v>45622</v>
      </c>
      <c r="B50" t="s">
        <v>15</v>
      </c>
      <c r="C50" t="s">
        <v>12</v>
      </c>
      <c r="D50" t="s">
        <v>13</v>
      </c>
      <c r="E50" t="s">
        <v>21</v>
      </c>
      <c r="F50">
        <v>6</v>
      </c>
      <c r="G50">
        <v>888</v>
      </c>
      <c r="H50">
        <v>210.39</v>
      </c>
    </row>
    <row r="51" spans="1:8" x14ac:dyDescent="0.3">
      <c r="A51" s="1">
        <v>45554</v>
      </c>
      <c r="B51" t="s">
        <v>32</v>
      </c>
      <c r="C51" t="s">
        <v>35</v>
      </c>
      <c r="D51" t="s">
        <v>17</v>
      </c>
      <c r="E51" t="s">
        <v>21</v>
      </c>
      <c r="F51">
        <v>5</v>
      </c>
      <c r="G51">
        <v>3280</v>
      </c>
      <c r="H51">
        <v>954.17</v>
      </c>
    </row>
    <row r="52" spans="1:8" x14ac:dyDescent="0.3">
      <c r="A52" s="1">
        <v>45127</v>
      </c>
      <c r="B52" t="s">
        <v>32</v>
      </c>
      <c r="C52" t="s">
        <v>12</v>
      </c>
      <c r="D52" t="s">
        <v>13</v>
      </c>
      <c r="E52" t="s">
        <v>18</v>
      </c>
      <c r="F52">
        <v>7</v>
      </c>
      <c r="G52">
        <v>1239</v>
      </c>
      <c r="H52">
        <v>177.39</v>
      </c>
    </row>
    <row r="53" spans="1:8" x14ac:dyDescent="0.3">
      <c r="A53" s="1">
        <v>45415</v>
      </c>
      <c r="B53" t="s">
        <v>23</v>
      </c>
      <c r="C53" t="s">
        <v>24</v>
      </c>
      <c r="D53" t="s">
        <v>13</v>
      </c>
      <c r="E53" t="s">
        <v>14</v>
      </c>
      <c r="F53">
        <v>8</v>
      </c>
      <c r="G53">
        <v>5880</v>
      </c>
      <c r="H53">
        <v>436.85</v>
      </c>
    </row>
    <row r="54" spans="1:8" x14ac:dyDescent="0.3">
      <c r="A54" s="1">
        <v>44807</v>
      </c>
      <c r="B54" t="s">
        <v>19</v>
      </c>
      <c r="C54" t="s">
        <v>30</v>
      </c>
      <c r="D54" t="s">
        <v>17</v>
      </c>
      <c r="E54" t="s">
        <v>21</v>
      </c>
      <c r="F54">
        <v>2</v>
      </c>
      <c r="G54">
        <v>1668</v>
      </c>
      <c r="H54">
        <v>437.3</v>
      </c>
    </row>
    <row r="55" spans="1:8" x14ac:dyDescent="0.3">
      <c r="A55" s="1">
        <v>45482</v>
      </c>
      <c r="B55" t="s">
        <v>32</v>
      </c>
      <c r="C55" t="s">
        <v>8</v>
      </c>
      <c r="D55" t="s">
        <v>9</v>
      </c>
      <c r="E55" t="s">
        <v>21</v>
      </c>
      <c r="F55">
        <v>7</v>
      </c>
      <c r="G55">
        <v>4109</v>
      </c>
      <c r="H55">
        <v>1037.6400000000001</v>
      </c>
    </row>
    <row r="56" spans="1:8" x14ac:dyDescent="0.3">
      <c r="A56" s="1">
        <v>44882</v>
      </c>
      <c r="B56" t="s">
        <v>19</v>
      </c>
      <c r="C56" t="s">
        <v>26</v>
      </c>
      <c r="D56" t="s">
        <v>17</v>
      </c>
      <c r="E56" t="s">
        <v>21</v>
      </c>
      <c r="F56">
        <v>7</v>
      </c>
      <c r="G56">
        <v>595</v>
      </c>
      <c r="H56">
        <v>148.5</v>
      </c>
    </row>
    <row r="57" spans="1:8" x14ac:dyDescent="0.3">
      <c r="A57" s="1">
        <v>45288</v>
      </c>
      <c r="B57" t="s">
        <v>23</v>
      </c>
      <c r="C57" t="s">
        <v>24</v>
      </c>
      <c r="D57" t="s">
        <v>13</v>
      </c>
      <c r="E57" t="s">
        <v>14</v>
      </c>
      <c r="F57">
        <v>7</v>
      </c>
      <c r="G57">
        <v>8155</v>
      </c>
      <c r="H57">
        <v>1587.91</v>
      </c>
    </row>
    <row r="58" spans="1:8" x14ac:dyDescent="0.3">
      <c r="A58" s="1">
        <v>44711</v>
      </c>
      <c r="B58" t="s">
        <v>28</v>
      </c>
      <c r="C58" t="s">
        <v>27</v>
      </c>
      <c r="D58" t="s">
        <v>13</v>
      </c>
      <c r="E58" t="s">
        <v>18</v>
      </c>
      <c r="F58">
        <v>3</v>
      </c>
      <c r="G58">
        <v>1872</v>
      </c>
      <c r="H58">
        <v>553.1</v>
      </c>
    </row>
    <row r="59" spans="1:8" x14ac:dyDescent="0.3">
      <c r="A59" s="1">
        <v>45399</v>
      </c>
      <c r="B59" t="s">
        <v>31</v>
      </c>
      <c r="C59" t="s">
        <v>26</v>
      </c>
      <c r="D59" t="s">
        <v>17</v>
      </c>
      <c r="E59" t="s">
        <v>14</v>
      </c>
      <c r="F59">
        <v>6</v>
      </c>
      <c r="G59">
        <v>2124</v>
      </c>
      <c r="H59">
        <v>126.03</v>
      </c>
    </row>
    <row r="60" spans="1:8" x14ac:dyDescent="0.3">
      <c r="A60" s="1">
        <v>45565</v>
      </c>
      <c r="B60" t="s">
        <v>20</v>
      </c>
      <c r="C60" t="s">
        <v>27</v>
      </c>
      <c r="D60" t="s">
        <v>13</v>
      </c>
      <c r="E60" t="s">
        <v>21</v>
      </c>
      <c r="F60">
        <v>5</v>
      </c>
      <c r="G60">
        <v>5210</v>
      </c>
      <c r="H60">
        <v>1338.8</v>
      </c>
    </row>
    <row r="61" spans="1:8" x14ac:dyDescent="0.3">
      <c r="A61" s="1">
        <v>45445</v>
      </c>
      <c r="B61" t="s">
        <v>20</v>
      </c>
      <c r="C61" t="s">
        <v>12</v>
      </c>
      <c r="D61" t="s">
        <v>13</v>
      </c>
      <c r="E61" t="s">
        <v>18</v>
      </c>
      <c r="F61">
        <v>7</v>
      </c>
      <c r="G61">
        <v>5761</v>
      </c>
      <c r="H61">
        <v>362.48</v>
      </c>
    </row>
    <row r="62" spans="1:8" x14ac:dyDescent="0.3">
      <c r="A62" s="1">
        <v>44830</v>
      </c>
      <c r="B62" t="s">
        <v>25</v>
      </c>
      <c r="C62" t="s">
        <v>24</v>
      </c>
      <c r="D62" t="s">
        <v>13</v>
      </c>
      <c r="E62" t="s">
        <v>18</v>
      </c>
      <c r="F62">
        <v>7</v>
      </c>
      <c r="G62">
        <v>6895</v>
      </c>
      <c r="H62">
        <v>1596.35</v>
      </c>
    </row>
    <row r="63" spans="1:8" x14ac:dyDescent="0.3">
      <c r="A63" s="1">
        <v>45643</v>
      </c>
      <c r="B63" t="s">
        <v>19</v>
      </c>
      <c r="C63" t="s">
        <v>26</v>
      </c>
      <c r="D63" t="s">
        <v>17</v>
      </c>
      <c r="E63" t="s">
        <v>14</v>
      </c>
      <c r="F63">
        <v>3</v>
      </c>
      <c r="G63">
        <v>2118</v>
      </c>
      <c r="H63">
        <v>317.08</v>
      </c>
    </row>
    <row r="64" spans="1:8" x14ac:dyDescent="0.3">
      <c r="A64" s="1">
        <v>45574</v>
      </c>
      <c r="B64" t="s">
        <v>31</v>
      </c>
      <c r="C64" t="s">
        <v>26</v>
      </c>
      <c r="D64" t="s">
        <v>17</v>
      </c>
      <c r="E64" t="s">
        <v>10</v>
      </c>
      <c r="F64">
        <v>5</v>
      </c>
      <c r="G64">
        <v>830</v>
      </c>
      <c r="H64">
        <v>58.28</v>
      </c>
    </row>
    <row r="65" spans="1:8" x14ac:dyDescent="0.3">
      <c r="A65" s="1">
        <v>45121</v>
      </c>
      <c r="B65" t="s">
        <v>37</v>
      </c>
      <c r="C65" t="s">
        <v>26</v>
      </c>
      <c r="D65" t="s">
        <v>17</v>
      </c>
      <c r="E65" t="s">
        <v>10</v>
      </c>
      <c r="F65">
        <v>1</v>
      </c>
      <c r="G65">
        <v>851</v>
      </c>
      <c r="H65">
        <v>93.56</v>
      </c>
    </row>
    <row r="66" spans="1:8" x14ac:dyDescent="0.3">
      <c r="A66" s="1">
        <v>45265</v>
      </c>
      <c r="B66" t="s">
        <v>19</v>
      </c>
      <c r="C66" t="s">
        <v>16</v>
      </c>
      <c r="D66" t="s">
        <v>17</v>
      </c>
      <c r="E66" t="s">
        <v>14</v>
      </c>
      <c r="F66">
        <v>5</v>
      </c>
      <c r="G66">
        <v>4730</v>
      </c>
      <c r="H66">
        <v>1365.63</v>
      </c>
    </row>
    <row r="67" spans="1:8" x14ac:dyDescent="0.3">
      <c r="A67" s="1">
        <v>44715</v>
      </c>
      <c r="B67" t="s">
        <v>20</v>
      </c>
      <c r="C67" t="s">
        <v>12</v>
      </c>
      <c r="D67" t="s">
        <v>13</v>
      </c>
      <c r="E67" t="s">
        <v>21</v>
      </c>
      <c r="F67">
        <v>6</v>
      </c>
      <c r="G67">
        <v>5460</v>
      </c>
      <c r="H67">
        <v>845.75</v>
      </c>
    </row>
    <row r="68" spans="1:8" x14ac:dyDescent="0.3">
      <c r="A68" s="1">
        <v>45654</v>
      </c>
      <c r="B68" t="s">
        <v>23</v>
      </c>
      <c r="C68" t="s">
        <v>24</v>
      </c>
      <c r="D68" t="s">
        <v>13</v>
      </c>
      <c r="E68" t="s">
        <v>14</v>
      </c>
      <c r="F68">
        <v>5</v>
      </c>
      <c r="G68">
        <v>5795</v>
      </c>
      <c r="H68">
        <v>310.60000000000002</v>
      </c>
    </row>
    <row r="69" spans="1:8" x14ac:dyDescent="0.3">
      <c r="A69" s="1">
        <v>44779</v>
      </c>
      <c r="B69" t="s">
        <v>20</v>
      </c>
      <c r="C69" t="s">
        <v>35</v>
      </c>
      <c r="D69" t="s">
        <v>17</v>
      </c>
      <c r="E69" t="s">
        <v>18</v>
      </c>
      <c r="F69">
        <v>4</v>
      </c>
      <c r="G69">
        <v>2008</v>
      </c>
      <c r="H69">
        <v>338.44</v>
      </c>
    </row>
    <row r="70" spans="1:8" x14ac:dyDescent="0.3">
      <c r="A70" s="1">
        <v>45083</v>
      </c>
      <c r="B70" t="s">
        <v>20</v>
      </c>
      <c r="C70" t="s">
        <v>12</v>
      </c>
      <c r="D70" t="s">
        <v>13</v>
      </c>
      <c r="E70" t="s">
        <v>18</v>
      </c>
      <c r="F70">
        <v>7</v>
      </c>
      <c r="G70">
        <v>2842</v>
      </c>
      <c r="H70">
        <v>425.24</v>
      </c>
    </row>
    <row r="71" spans="1:8" x14ac:dyDescent="0.3">
      <c r="A71" s="1">
        <v>45323</v>
      </c>
      <c r="B71" t="s">
        <v>20</v>
      </c>
      <c r="C71" t="s">
        <v>12</v>
      </c>
      <c r="D71" t="s">
        <v>13</v>
      </c>
      <c r="E71" t="s">
        <v>14</v>
      </c>
      <c r="F71">
        <v>4</v>
      </c>
      <c r="G71">
        <v>3404</v>
      </c>
      <c r="H71">
        <v>392.22</v>
      </c>
    </row>
    <row r="72" spans="1:8" x14ac:dyDescent="0.3">
      <c r="A72" s="1">
        <v>45077</v>
      </c>
      <c r="B72" t="s">
        <v>31</v>
      </c>
      <c r="C72" t="s">
        <v>26</v>
      </c>
      <c r="D72" t="s">
        <v>17</v>
      </c>
      <c r="E72" t="s">
        <v>21</v>
      </c>
      <c r="F72">
        <v>1</v>
      </c>
      <c r="G72">
        <v>1065</v>
      </c>
      <c r="H72">
        <v>228.63</v>
      </c>
    </row>
    <row r="73" spans="1:8" x14ac:dyDescent="0.3">
      <c r="A73" s="1">
        <v>45457</v>
      </c>
      <c r="B73" t="s">
        <v>29</v>
      </c>
      <c r="C73" t="s">
        <v>16</v>
      </c>
      <c r="D73" t="s">
        <v>17</v>
      </c>
      <c r="E73" t="s">
        <v>21</v>
      </c>
      <c r="F73">
        <v>7</v>
      </c>
      <c r="G73">
        <v>2149</v>
      </c>
      <c r="H73">
        <v>121.69</v>
      </c>
    </row>
    <row r="74" spans="1:8" x14ac:dyDescent="0.3">
      <c r="A74" s="1">
        <v>45518</v>
      </c>
      <c r="B74" t="s">
        <v>32</v>
      </c>
      <c r="C74" t="s">
        <v>33</v>
      </c>
      <c r="D74" t="s">
        <v>13</v>
      </c>
      <c r="E74" t="s">
        <v>14</v>
      </c>
      <c r="F74">
        <v>8</v>
      </c>
      <c r="G74">
        <v>5912</v>
      </c>
      <c r="H74">
        <v>1143.04</v>
      </c>
    </row>
    <row r="75" spans="1:8" x14ac:dyDescent="0.3">
      <c r="A75" s="1">
        <v>44958</v>
      </c>
      <c r="B75" t="s">
        <v>32</v>
      </c>
      <c r="C75" t="s">
        <v>12</v>
      </c>
      <c r="D75" t="s">
        <v>13</v>
      </c>
      <c r="E75" t="s">
        <v>21</v>
      </c>
      <c r="F75">
        <v>3</v>
      </c>
      <c r="G75">
        <v>3348</v>
      </c>
      <c r="H75">
        <v>331.28</v>
      </c>
    </row>
    <row r="76" spans="1:8" x14ac:dyDescent="0.3">
      <c r="A76" s="1">
        <v>45410</v>
      </c>
      <c r="B76" t="s">
        <v>39</v>
      </c>
      <c r="C76" t="s">
        <v>30</v>
      </c>
      <c r="D76" t="s">
        <v>17</v>
      </c>
      <c r="E76" t="s">
        <v>18</v>
      </c>
      <c r="F76">
        <v>3</v>
      </c>
      <c r="G76">
        <v>2409</v>
      </c>
      <c r="H76">
        <v>531.79</v>
      </c>
    </row>
    <row r="77" spans="1:8" x14ac:dyDescent="0.3">
      <c r="A77" s="1">
        <v>45387</v>
      </c>
      <c r="B77" t="s">
        <v>19</v>
      </c>
      <c r="C77" t="s">
        <v>16</v>
      </c>
      <c r="D77" t="s">
        <v>17</v>
      </c>
      <c r="E77" t="s">
        <v>10</v>
      </c>
      <c r="F77">
        <v>2</v>
      </c>
      <c r="G77">
        <v>328</v>
      </c>
      <c r="H77">
        <v>39.51</v>
      </c>
    </row>
    <row r="78" spans="1:8" x14ac:dyDescent="0.3">
      <c r="A78" s="1">
        <v>45322</v>
      </c>
      <c r="B78" t="s">
        <v>39</v>
      </c>
      <c r="C78" t="s">
        <v>30</v>
      </c>
      <c r="D78" t="s">
        <v>17</v>
      </c>
      <c r="E78" t="s">
        <v>21</v>
      </c>
      <c r="F78">
        <v>8</v>
      </c>
      <c r="G78">
        <v>6224</v>
      </c>
      <c r="H78">
        <v>1561.42</v>
      </c>
    </row>
    <row r="79" spans="1:8" x14ac:dyDescent="0.3">
      <c r="A79" s="1">
        <v>45300</v>
      </c>
      <c r="B79" t="s">
        <v>37</v>
      </c>
      <c r="C79" t="s">
        <v>26</v>
      </c>
      <c r="D79" t="s">
        <v>17</v>
      </c>
      <c r="E79" t="s">
        <v>10</v>
      </c>
      <c r="F79">
        <v>5</v>
      </c>
      <c r="G79">
        <v>2530</v>
      </c>
      <c r="H79">
        <v>486.09</v>
      </c>
    </row>
    <row r="80" spans="1:8" x14ac:dyDescent="0.3">
      <c r="A80" s="1">
        <v>44657</v>
      </c>
      <c r="B80" t="s">
        <v>23</v>
      </c>
      <c r="C80" t="s">
        <v>24</v>
      </c>
      <c r="D80" t="s">
        <v>13</v>
      </c>
      <c r="E80" t="s">
        <v>21</v>
      </c>
      <c r="F80">
        <v>4</v>
      </c>
      <c r="G80">
        <v>4108</v>
      </c>
      <c r="H80">
        <v>462.17</v>
      </c>
    </row>
    <row r="81" spans="1:8" x14ac:dyDescent="0.3">
      <c r="A81" s="1">
        <v>45434</v>
      </c>
      <c r="B81" t="s">
        <v>32</v>
      </c>
      <c r="C81" t="s">
        <v>8</v>
      </c>
      <c r="D81" t="s">
        <v>9</v>
      </c>
      <c r="E81" t="s">
        <v>18</v>
      </c>
      <c r="F81">
        <v>5</v>
      </c>
      <c r="G81">
        <v>1640</v>
      </c>
      <c r="H81">
        <v>391.36</v>
      </c>
    </row>
    <row r="82" spans="1:8" x14ac:dyDescent="0.3">
      <c r="A82" s="1">
        <v>45290</v>
      </c>
      <c r="B82" t="s">
        <v>19</v>
      </c>
      <c r="C82" t="s">
        <v>35</v>
      </c>
      <c r="D82" t="s">
        <v>17</v>
      </c>
      <c r="E82" t="s">
        <v>18</v>
      </c>
      <c r="F82">
        <v>1</v>
      </c>
      <c r="G82">
        <v>111</v>
      </c>
      <c r="H82">
        <v>19.329999999999998</v>
      </c>
    </row>
    <row r="83" spans="1:8" x14ac:dyDescent="0.3">
      <c r="A83" s="1">
        <v>44637</v>
      </c>
      <c r="B83" t="s">
        <v>25</v>
      </c>
      <c r="C83" t="s">
        <v>24</v>
      </c>
      <c r="D83" t="s">
        <v>13</v>
      </c>
      <c r="E83" t="s">
        <v>10</v>
      </c>
      <c r="F83">
        <v>1</v>
      </c>
      <c r="G83">
        <v>445</v>
      </c>
      <c r="H83">
        <v>128.88999999999999</v>
      </c>
    </row>
    <row r="84" spans="1:8" x14ac:dyDescent="0.3">
      <c r="A84" s="1">
        <v>44705</v>
      </c>
      <c r="B84" t="s">
        <v>32</v>
      </c>
      <c r="C84" t="s">
        <v>8</v>
      </c>
      <c r="D84" t="s">
        <v>9</v>
      </c>
      <c r="E84" t="s">
        <v>10</v>
      </c>
      <c r="F84">
        <v>4</v>
      </c>
      <c r="G84">
        <v>3600</v>
      </c>
      <c r="H84">
        <v>623.72</v>
      </c>
    </row>
    <row r="85" spans="1:8" x14ac:dyDescent="0.3">
      <c r="A85" s="1">
        <v>45452</v>
      </c>
      <c r="B85" t="s">
        <v>32</v>
      </c>
      <c r="C85" t="s">
        <v>12</v>
      </c>
      <c r="D85" t="s">
        <v>13</v>
      </c>
      <c r="E85" t="s">
        <v>10</v>
      </c>
      <c r="F85">
        <v>3</v>
      </c>
      <c r="G85">
        <v>1335</v>
      </c>
      <c r="H85">
        <v>176.44</v>
      </c>
    </row>
    <row r="86" spans="1:8" x14ac:dyDescent="0.3">
      <c r="A86" s="1">
        <v>45627</v>
      </c>
      <c r="B86" t="s">
        <v>32</v>
      </c>
      <c r="C86" t="s">
        <v>33</v>
      </c>
      <c r="D86" t="s">
        <v>13</v>
      </c>
      <c r="E86" t="s">
        <v>18</v>
      </c>
      <c r="F86">
        <v>5</v>
      </c>
      <c r="G86">
        <v>3090</v>
      </c>
      <c r="H86">
        <v>242.15</v>
      </c>
    </row>
    <row r="87" spans="1:8" x14ac:dyDescent="0.3">
      <c r="A87" s="1">
        <v>45219</v>
      </c>
      <c r="B87" t="s">
        <v>38</v>
      </c>
      <c r="C87" t="s">
        <v>8</v>
      </c>
      <c r="D87" t="s">
        <v>9</v>
      </c>
      <c r="E87" t="s">
        <v>14</v>
      </c>
      <c r="F87">
        <v>5</v>
      </c>
      <c r="G87">
        <v>3910</v>
      </c>
      <c r="H87">
        <v>538.52</v>
      </c>
    </row>
    <row r="88" spans="1:8" x14ac:dyDescent="0.3">
      <c r="A88" s="1">
        <v>45356</v>
      </c>
      <c r="B88" t="s">
        <v>34</v>
      </c>
      <c r="C88" t="s">
        <v>22</v>
      </c>
      <c r="D88" t="s">
        <v>17</v>
      </c>
      <c r="E88" t="s">
        <v>18</v>
      </c>
      <c r="F88">
        <v>1</v>
      </c>
      <c r="G88">
        <v>219</v>
      </c>
      <c r="H88">
        <v>32.67</v>
      </c>
    </row>
    <row r="89" spans="1:8" x14ac:dyDescent="0.3">
      <c r="A89" s="1">
        <v>44900</v>
      </c>
      <c r="B89" t="s">
        <v>19</v>
      </c>
      <c r="C89" t="s">
        <v>30</v>
      </c>
      <c r="D89" t="s">
        <v>17</v>
      </c>
      <c r="E89" t="s">
        <v>21</v>
      </c>
      <c r="F89">
        <v>5</v>
      </c>
      <c r="G89">
        <v>390</v>
      </c>
      <c r="H89">
        <v>27.77</v>
      </c>
    </row>
    <row r="90" spans="1:8" x14ac:dyDescent="0.3">
      <c r="A90" s="1">
        <v>44778</v>
      </c>
      <c r="B90" t="s">
        <v>19</v>
      </c>
      <c r="C90" t="s">
        <v>35</v>
      </c>
      <c r="D90" t="s">
        <v>17</v>
      </c>
      <c r="E90" t="s">
        <v>10</v>
      </c>
      <c r="F90">
        <v>6</v>
      </c>
      <c r="G90">
        <v>3294</v>
      </c>
      <c r="H90">
        <v>359.61</v>
      </c>
    </row>
    <row r="91" spans="1:8" x14ac:dyDescent="0.3">
      <c r="A91" s="1">
        <v>45006</v>
      </c>
      <c r="B91" t="s">
        <v>32</v>
      </c>
      <c r="C91" t="s">
        <v>33</v>
      </c>
      <c r="D91" t="s">
        <v>13</v>
      </c>
      <c r="E91" t="s">
        <v>21</v>
      </c>
      <c r="F91">
        <v>4</v>
      </c>
      <c r="G91">
        <v>4572</v>
      </c>
      <c r="H91">
        <v>1038.05</v>
      </c>
    </row>
    <row r="92" spans="1:8" x14ac:dyDescent="0.3">
      <c r="A92" s="1">
        <v>44600</v>
      </c>
      <c r="B92" t="s">
        <v>31</v>
      </c>
      <c r="C92" t="s">
        <v>27</v>
      </c>
      <c r="D92" t="s">
        <v>13</v>
      </c>
      <c r="E92" t="s">
        <v>18</v>
      </c>
      <c r="F92">
        <v>7</v>
      </c>
      <c r="G92">
        <v>980</v>
      </c>
      <c r="H92">
        <v>109.94</v>
      </c>
    </row>
    <row r="93" spans="1:8" x14ac:dyDescent="0.3">
      <c r="A93" s="1">
        <v>45017</v>
      </c>
      <c r="B93" t="s">
        <v>23</v>
      </c>
      <c r="C93" t="s">
        <v>24</v>
      </c>
      <c r="D93" t="s">
        <v>13</v>
      </c>
      <c r="E93" t="s">
        <v>10</v>
      </c>
      <c r="F93">
        <v>2</v>
      </c>
      <c r="G93">
        <v>2262</v>
      </c>
      <c r="H93">
        <v>532.12</v>
      </c>
    </row>
    <row r="94" spans="1:8" x14ac:dyDescent="0.3">
      <c r="A94" s="1">
        <v>44909</v>
      </c>
      <c r="B94" t="s">
        <v>34</v>
      </c>
      <c r="C94" t="s">
        <v>22</v>
      </c>
      <c r="D94" t="s">
        <v>17</v>
      </c>
      <c r="E94" t="s">
        <v>18</v>
      </c>
      <c r="F94">
        <v>7</v>
      </c>
      <c r="G94">
        <v>7518</v>
      </c>
      <c r="H94">
        <v>1655.91</v>
      </c>
    </row>
    <row r="95" spans="1:8" x14ac:dyDescent="0.3">
      <c r="A95" s="1">
        <v>44695</v>
      </c>
      <c r="B95" t="s">
        <v>34</v>
      </c>
      <c r="C95" t="s">
        <v>22</v>
      </c>
      <c r="D95" t="s">
        <v>17</v>
      </c>
      <c r="E95" t="s">
        <v>18</v>
      </c>
      <c r="F95">
        <v>1</v>
      </c>
      <c r="G95">
        <v>873</v>
      </c>
      <c r="H95">
        <v>158.97</v>
      </c>
    </row>
    <row r="96" spans="1:8" x14ac:dyDescent="0.3">
      <c r="A96" s="1">
        <v>44608</v>
      </c>
      <c r="B96" t="s">
        <v>15</v>
      </c>
      <c r="C96" t="s">
        <v>12</v>
      </c>
      <c r="D96" t="s">
        <v>13</v>
      </c>
      <c r="E96" t="s">
        <v>10</v>
      </c>
      <c r="F96">
        <v>6</v>
      </c>
      <c r="G96">
        <v>1512</v>
      </c>
      <c r="H96">
        <v>423.03</v>
      </c>
    </row>
    <row r="97" spans="1:8" x14ac:dyDescent="0.3">
      <c r="A97" s="1">
        <v>45532</v>
      </c>
      <c r="B97" t="s">
        <v>32</v>
      </c>
      <c r="C97" t="s">
        <v>35</v>
      </c>
      <c r="D97" t="s">
        <v>17</v>
      </c>
      <c r="E97" t="s">
        <v>21</v>
      </c>
      <c r="F97">
        <v>1</v>
      </c>
      <c r="G97">
        <v>705</v>
      </c>
      <c r="H97">
        <v>165.16</v>
      </c>
    </row>
    <row r="98" spans="1:8" x14ac:dyDescent="0.3">
      <c r="A98" s="1">
        <v>45229</v>
      </c>
      <c r="B98" t="s">
        <v>31</v>
      </c>
      <c r="C98" t="s">
        <v>26</v>
      </c>
      <c r="D98" t="s">
        <v>17</v>
      </c>
      <c r="E98" t="s">
        <v>10</v>
      </c>
      <c r="F98">
        <v>8</v>
      </c>
      <c r="G98">
        <v>3256</v>
      </c>
      <c r="H98">
        <v>533.70000000000005</v>
      </c>
    </row>
    <row r="99" spans="1:8" x14ac:dyDescent="0.3">
      <c r="A99" s="1">
        <v>45101</v>
      </c>
      <c r="B99" t="s">
        <v>19</v>
      </c>
      <c r="C99" t="s">
        <v>16</v>
      </c>
      <c r="D99" t="s">
        <v>17</v>
      </c>
      <c r="E99" t="s">
        <v>21</v>
      </c>
      <c r="F99">
        <v>4</v>
      </c>
      <c r="G99">
        <v>556</v>
      </c>
      <c r="H99">
        <v>81.77</v>
      </c>
    </row>
    <row r="100" spans="1:8" x14ac:dyDescent="0.3">
      <c r="A100" s="1">
        <v>45063</v>
      </c>
      <c r="B100" t="s">
        <v>32</v>
      </c>
      <c r="C100" t="s">
        <v>12</v>
      </c>
      <c r="D100" t="s">
        <v>13</v>
      </c>
      <c r="E100" t="s">
        <v>14</v>
      </c>
      <c r="F100">
        <v>9</v>
      </c>
      <c r="G100">
        <v>7101</v>
      </c>
      <c r="H100">
        <v>2105.8200000000002</v>
      </c>
    </row>
    <row r="101" spans="1:8" x14ac:dyDescent="0.3">
      <c r="A101" s="1">
        <v>45022</v>
      </c>
      <c r="B101" t="s">
        <v>36</v>
      </c>
      <c r="C101" t="s">
        <v>35</v>
      </c>
      <c r="D101" t="s">
        <v>17</v>
      </c>
      <c r="E101" t="s">
        <v>21</v>
      </c>
      <c r="F101">
        <v>9</v>
      </c>
      <c r="G101">
        <v>8802</v>
      </c>
      <c r="H101">
        <v>1344.96</v>
      </c>
    </row>
  </sheetData>
  <pageMargins left="0.7" right="0.7" top="0.75" bottom="0.75" header="0.3" footer="0.3"/>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Sheet2</vt:lpstr>
      <vt:lpstr>Detail1</vt:lpstr>
      <vt:lpstr>KPI</vt:lpstr>
      <vt:lpstr>Dashboard</vt:lpstr>
      <vt:lpstr>Sheet1</vt:lpstr>
      <vt:lpstr>Ecommerce sales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Swapnil</dc:creator>
  <cp:lastModifiedBy>swapnilgaikar626@gmail.com</cp:lastModifiedBy>
  <dcterms:created xsi:type="dcterms:W3CDTF">2026-02-14T14:27:52Z</dcterms:created>
  <dcterms:modified xsi:type="dcterms:W3CDTF">2026-05-21T09:55:58Z</dcterms:modified>
</cp:coreProperties>
</file>